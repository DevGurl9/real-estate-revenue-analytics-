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A084E278-E1A3-48DC-83A5-E60FCF718F85}" xr6:coauthVersionLast="47" xr6:coauthVersionMax="47" xr10:uidLastSave="{00000000-0000-0000-0000-000000000000}"/>
  <bookViews>
    <workbookView xWindow="28680" yWindow="-120" windowWidth="29040" windowHeight="15720" firstSheet="2" activeTab="8" xr2:uid="{00000000-000D-0000-FFFF-FFFF00000000}"/>
  </bookViews>
  <sheets>
    <sheet name="Instructions" sheetId="1" r:id="rId1"/>
    <sheet name="revenue_summary" sheetId="10" r:id="rId2"/>
    <sheet name="pricing_comparison" sheetId="9" r:id="rId3"/>
    <sheet name="occupancy_trends" sheetId="8" r:id="rId4"/>
    <sheet name="expense_summary" sheetId="7" r:id="rId5"/>
    <sheet name="Dashboard" sheetId="6" r:id="rId6"/>
    <sheet name="PivotRevenue" sheetId="12" r:id="rId7"/>
    <sheet name="PivotOccupancy" sheetId="13" r:id="rId8"/>
    <sheet name="PivotExpense" sheetId="14" r:id="rId9"/>
    <sheet name="PivotPricing" sheetId="15" r:id="rId10"/>
    <sheet name="Expense_Debug" sheetId="16" r:id="rId11"/>
    <sheet name="Expense_Pivot_Fields" sheetId="17" r:id="rId12"/>
    <sheet name="_config" sheetId="11" state="hidden" r:id="rId13"/>
  </sheets>
  <functionGroups builtInGroupCount="19"/>
  <calcPr calcId="0" calcMode="manual"/>
  <pivotCaches>
    <pivotCache cacheId="0" r:id="rId14"/>
    <pivotCache cacheId="1" r:id="rId15"/>
    <pivotCache cacheId="2" r:id="rId16"/>
  </pivotCaches>
</workbook>
</file>

<file path=xl/sharedStrings.xml><?xml version="1.0" encoding="utf-8"?>
<sst xmlns="http://schemas.openxmlformats.org/spreadsheetml/2006/main" count="337" uniqueCount="117">
  <si>
    <t>Real Estate Analytics Dashboard Template</t>
  </si>
  <si>
    <t>1. Paste data into respective sheets:</t>
  </si>
  <si>
    <t xml:space="preserve">   - revenue_summary</t>
  </si>
  <si>
    <t xml:space="preserve">   - expense_summary</t>
  </si>
  <si>
    <t xml:space="preserve">   - occupancy_trends</t>
  </si>
  <si>
    <t xml:space="preserve">   - pricing_comparison</t>
  </si>
  <si>
    <t>2. Create Pivot Tables from each dataset.</t>
  </si>
  <si>
    <t>3. Build charts:</t>
  </si>
  <si>
    <t xml:space="preserve">   - Revenue trends</t>
  </si>
  <si>
    <t xml:space="preserve">   - Expense breakdown</t>
  </si>
  <si>
    <t xml:space="preserve">   - Occupancy rate</t>
  </si>
  <si>
    <t xml:space="preserve">   - Rent vs Market comparison</t>
  </si>
  <si>
    <t>4. Use the Dashboard sheet to summarize visuals.</t>
  </si>
  <si>
    <t>month</t>
  </si>
  <si>
    <t>total_rent_due</t>
  </si>
  <si>
    <t>total_rent_paid</t>
  </si>
  <si>
    <t>expense_month</t>
  </si>
  <si>
    <t>category</t>
  </si>
  <si>
    <t>total_expense_amount</t>
  </si>
  <si>
    <t>occupied_units</t>
  </si>
  <si>
    <t>total_units</t>
  </si>
  <si>
    <t>occupancy_rate</t>
  </si>
  <si>
    <t>Dashboard (Insert Charts Here)</t>
  </si>
  <si>
    <t>expense_count</t>
  </si>
  <si>
    <t>vacant_units</t>
  </si>
  <si>
    <t>total_unpaid_balance</t>
  </si>
  <si>
    <t>paid_records</t>
  </si>
  <si>
    <t>late_records</t>
  </si>
  <si>
    <t>unpaid_records</t>
  </si>
  <si>
    <t>monthly_collection_rate</t>
  </si>
  <si>
    <t>DB_PATH</t>
  </si>
  <si>
    <t>PROJECT_ROOT</t>
  </si>
  <si>
    <t>Bedrooms</t>
  </si>
  <si>
    <t>Avg Actual Rent</t>
  </si>
  <si>
    <t>Lease Count</t>
  </si>
  <si>
    <t>Avg Market Rent</t>
  </si>
  <si>
    <t>Comparable Count</t>
  </si>
  <si>
    <t>Rent Gap</t>
  </si>
  <si>
    <t>Pricing Position</t>
  </si>
  <si>
    <t>C:\Users\kim_k\OneDrive\Documents\edu2019\python\Projects\real-estate-revenue-analytics\database\property_data.db</t>
  </si>
  <si>
    <t>C:\Users\kim_k\OneDrive\Documents\edu2019\python\Projects\real-estate-revenue-analytics</t>
  </si>
  <si>
    <t>2024-01</t>
  </si>
  <si>
    <t>Maintenance</t>
  </si>
  <si>
    <t>Renovation</t>
  </si>
  <si>
    <t>Repairs</t>
  </si>
  <si>
    <t>2024-02</t>
  </si>
  <si>
    <t>Utilities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</si>
  <si>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</si>
  <si>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</si>
  <si>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</si>
  <si>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</si>
  <si>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</si>
  <si>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</si>
  <si>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</si>
  <si>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</si>
  <si>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</si>
  <si>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</si>
  <si>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</si>
  <si>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</si>
  <si>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</si>
  <si>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</si>
  <si>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</si>
  <si>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</si>
  <si>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</si>
  <si>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</si>
  <si>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</si>
  <si>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</si>
  <si>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2025-11</t>
  </si>
  <si>
    <t>2025-12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</si>
  <si>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</si>
  <si>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</si>
  <si>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</si>
  <si>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</si>
  <si>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</si>
  <si>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</si>
  <si>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</si>
  <si>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</si>
  <si>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</si>
  <si>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</si>
  <si>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</si>
  <si>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</si>
  <si>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2026-01</t>
  </si>
  <si>
    <t>2026-02</t>
  </si>
  <si>
    <t>2026-03</t>
  </si>
  <si>
    <t>2026-04</t>
  </si>
  <si>
    <t>2026-05</t>
  </si>
  <si>
    <t>2026-06</t>
  </si>
  <si>
    <t>2026-07</t>
  </si>
  <si>
    <t>Above Market</t>
  </si>
  <si>
    <t>Below Market</t>
  </si>
  <si>
    <t>Sum of Total Rent Due</t>
  </si>
  <si>
    <t>Sum of Total Rent Paid</t>
  </si>
  <si>
    <t>Sum of Total Unpaid Balance</t>
  </si>
  <si>
    <t>Avg Monthly Collection Rate</t>
  </si>
  <si>
    <t>Grand Total</t>
  </si>
  <si>
    <t>Revenue Summary</t>
  </si>
  <si>
    <t>Sum of Occupied Units</t>
  </si>
  <si>
    <t>Sum of Vacant Units</t>
  </si>
  <si>
    <t>Sum of Total Units</t>
  </si>
  <si>
    <t>Avg Occupancy Rate</t>
  </si>
  <si>
    <t>Occupancy Summary</t>
  </si>
  <si>
    <t>Avg of Avg Actual Rent</t>
  </si>
  <si>
    <t>Values</t>
  </si>
  <si>
    <t>Total Avg of Avg Actual Rent</t>
  </si>
  <si>
    <t>Total Avg of Avg Market Rent</t>
  </si>
  <si>
    <t>Total Avg of Rent Gap</t>
  </si>
  <si>
    <t>Avg of Avg Market Rent</t>
  </si>
  <si>
    <t>Avg of Rent Gap</t>
  </si>
  <si>
    <t>Pricing Summary</t>
  </si>
  <si>
    <t>Table Name</t>
  </si>
  <si>
    <t>Source Sheet</t>
  </si>
  <si>
    <t>Column Name</t>
  </si>
  <si>
    <t>tblExpenseSummary</t>
  </si>
  <si>
    <t>expense_summary</t>
  </si>
  <si>
    <t>Pivot Name</t>
  </si>
  <si>
    <t>Field Name</t>
  </si>
  <si>
    <t>ptExpense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</si>
</sst>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 pivotButton="1"/>
    <xf numFmtId="0" fontId="3" fillId="0" borderId="0" xfId="0" applyFont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164" fontId="0" fillId="0" borderId="1" xfId="0" applyNumberFormat="1" applyBorder="1"/>
    <xf numFmtId="164" fontId="0" fillId="0" borderId="3" xfId="0" applyNumberFormat="1" applyBorder="1"/>
  </cellXfs>
  <cellStyles count="1">
    <cellStyle name="Normal" xfId="0" builtinId="0"/>
  </cellStyles>
  <dxfs count="15"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D9E1F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m/d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Rent Comparison by Bedrooms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Actual Rent</c:v>
          </c:tx>
          <c:spPr>
            <a:solidFill>
              <a:srgbClr val="5B9BD5"/>
            </a:solidFill>
          </c:spPr>
          <c:invertIfNegative val="0"/>
          <c:cat>
            <c:numRef>
              <c:f>pricing_comparison!$A$2:$A$5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pricing_comparison!$B$2:$B$5</c:f>
              <c:numCache>
                <c:formatCode>"$"#,##0.00</c:formatCode>
                <c:ptCount val="4"/>
                <c:pt idx="0">
                  <c:v>1620</c:v>
                </c:pt>
                <c:pt idx="1">
                  <c:v>1847</c:v>
                </c:pt>
                <c:pt idx="2">
                  <c:v>2321.5</c:v>
                </c:pt>
                <c:pt idx="3">
                  <c:v>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F-4E96-A5E7-5688AB7D27C3}"/>
            </c:ext>
          </c:extLst>
        </c:ser>
        <c:ser>
          <c:idx val="1"/>
          <c:order val="1"/>
          <c:tx>
            <c:v>Avg Market Rent</c:v>
          </c:tx>
          <c:spPr>
            <a:solidFill>
              <a:srgbClr val="00B050"/>
            </a:solidFill>
          </c:spPr>
          <c:invertIfNegative val="0"/>
          <c:cat>
            <c:numRef>
              <c:f>pricing_comparison!$A$2:$A$5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pricing_comparison!$D$2:$D$5</c:f>
              <c:numCache>
                <c:formatCode>"$"#,##0.00</c:formatCode>
                <c:ptCount val="4"/>
                <c:pt idx="0">
                  <c:v>1577.0769230769199</c:v>
                </c:pt>
                <c:pt idx="1">
                  <c:v>2044.2083333333301</c:v>
                </c:pt>
                <c:pt idx="2">
                  <c:v>2739.75</c:v>
                </c:pt>
                <c:pt idx="3">
                  <c:v>3633.54545454545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F-4E96-A5E7-5688AB7D2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125695"/>
        <c:axId val="473126175"/>
      </c:barChart>
      <c:catAx>
        <c:axId val="473125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Bedrooms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3126175"/>
        <c:crosses val="autoZero"/>
        <c:auto val="1"/>
        <c:lblAlgn val="ctr"/>
        <c:lblOffset val="100"/>
        <c:noMultiLvlLbl val="0"/>
      </c:catAx>
      <c:valAx>
        <c:axId val="4731261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Rent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473125695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1323975</xdr:colOff>
      <xdr:row>1</xdr:row>
      <xdr:rowOff>1905</xdr:rowOff>
    </xdr:from>
    <xdr:to>
      <xdr:col>18</xdr:col>
      <xdr:colOff>257810</xdr:colOff>
      <xdr:row>22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081000-9B7E-17DE-B797-9D6C50EDEA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m Khan" refreshedDate="46117.792821875002" createdVersion="8" refreshedVersion="8" minRefreshableVersion="3" recordCount="4" xr:uid="{6553497E-21E9-4266-A3B8-09EA63656010}">
  <cacheSource type="worksheet">
    <worksheetSource name="tblPricingComparison"/>
  </cacheSource>
  <cacheFields count="7">
    <cacheField name="Bedrooms" numFmtId="0">
      <sharedItems containsSemiMixedTypes="0" containsString="0" containsNumber="1" containsInteger="1" minValue="0" maxValue="3" count="4">
        <n v="0"/>
        <n v="1"/>
        <n v="2"/>
        <n v="3"/>
      </sharedItems>
    </cacheField>
    <cacheField name="Avg Actual Rent" numFmtId="164">
      <sharedItems containsSemiMixedTypes="0" containsString="0" containsNumber="1" minValue="1620" maxValue="3077"/>
    </cacheField>
    <cacheField name="Lease Count" numFmtId="0">
      <sharedItems containsSemiMixedTypes="0" containsString="0" containsNumber="1" containsInteger="1" minValue="1" maxValue="6"/>
    </cacheField>
    <cacheField name="Avg Market Rent" numFmtId="164">
      <sharedItems containsSemiMixedTypes="0" containsString="0" containsNumber="1" minValue="1577.0769230769199" maxValue="3633.54545454545"/>
    </cacheField>
    <cacheField name="Comparable Count" numFmtId="0">
      <sharedItems containsSemiMixedTypes="0" containsString="0" containsNumber="1" containsInteger="1" minValue="11" maxValue="32"/>
    </cacheField>
    <cacheField name="Rent Gap" numFmtId="164">
      <sharedItems containsSemiMixedTypes="0" containsString="0" containsNumber="1" minValue="-42.923076923076898" maxValue="556.54545454545496"/>
    </cacheField>
    <cacheField name="Pricing Position" numFmtId="0">
      <sharedItems count="2">
        <s v="Above Market"/>
        <s v="Below Mark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m Khan" refreshedDate="46117.81169652778" createdVersion="8" refreshedVersion="8" minRefreshableVersion="3" recordCount="24" xr:uid="{59820C87-7A14-450F-83F9-560B59FCB316}">
  <cacheSource type="worksheet">
    <worksheetSource name="tblRevenueSummary"/>
  </cacheSource>
  <cacheFields count="8">
    <cacheField name="month" numFmtId="14">
      <sharedItems containsSemiMixedTypes="0" containsNonDate="0" containsDate="1" containsString="0" minDate="2024-01-01T00:00:00" maxDate="2025-12-02T00:00:00" count="24"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</sharedItems>
    </cacheField>
    <cacheField name="total_rent_due" numFmtId="0">
      <sharedItems containsSemiMixedTypes="0" containsString="0" containsNumber="1" containsInteger="1" minValue="5941" maxValue="17407"/>
    </cacheField>
    <cacheField name="total_rent_paid" numFmtId="0">
      <sharedItems containsSemiMixedTypes="0" containsString="0" containsNumber="1" containsInteger="1" minValue="5941" maxValue="17407"/>
    </cacheField>
    <cacheField name="total_unpaid_balance" numFmtId="0">
      <sharedItems containsSemiMixedTypes="0" containsString="0" containsNumber="1" containsInteger="1" minValue="0" maxValue="7009"/>
    </cacheField>
    <cacheField name="paid_records" numFmtId="0">
      <sharedItems containsSemiMixedTypes="0" containsString="0" containsNumber="1" containsInteger="1" minValue="2" maxValue="8"/>
    </cacheField>
    <cacheField name="late_records" numFmtId="0">
      <sharedItems containsSemiMixedTypes="0" containsString="0" containsNumber="1" containsInteger="1" minValue="0" maxValue="2"/>
    </cacheField>
    <cacheField name="unpaid_records" numFmtId="0">
      <sharedItems containsSemiMixedTypes="0" containsString="0" containsNumber="1" containsInteger="1" minValue="0" maxValue="1"/>
    </cacheField>
    <cacheField name="monthly_collection_rate" numFmtId="0">
      <sharedItems containsSemiMixedTypes="0" containsString="0" containsNumber="1" minValue="0.556027110914043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m Khan" refreshedDate="46117.811696759258" createdVersion="8" refreshedVersion="8" minRefreshableVersion="3" recordCount="43" xr:uid="{B24AB00F-B213-4C94-B066-92FA2C849B8A}">
  <cacheSource type="worksheet">
    <worksheetSource name="tblOccupancyTrends"/>
  </cacheSource>
  <cacheFields count="5">
    <cacheField name="month" numFmtId="0">
      <sharedItems count="43">
        <s v="2023-01"/>
        <s v="2023-02"/>
        <s v="2023-03"/>
        <s v="2023-04"/>
        <s v="2023-05"/>
        <s v="2023-06"/>
        <s v="2023-07"/>
        <s v="2023-08"/>
        <s v="2023-09"/>
        <s v="2023-10"/>
        <s v="2023-11"/>
        <s v="2023-12"/>
        <s v="2024-01"/>
        <s v="2024-02"/>
        <s v="2024-03"/>
        <s v="2024-04"/>
        <s v="2024-05"/>
        <s v="2024-06"/>
        <s v="2024-07"/>
        <s v="2024-08"/>
        <s v="2024-09"/>
        <s v="2024-10"/>
        <s v="2024-11"/>
        <s v="2024-12"/>
        <s v="2025-01"/>
        <s v="2025-02"/>
        <s v="2025-03"/>
        <s v="2025-04"/>
        <s v="2025-05"/>
        <s v="2025-06"/>
        <s v="2025-07"/>
        <s v="2025-08"/>
        <s v="2025-09"/>
        <s v="2025-10"/>
        <s v="2025-11"/>
        <s v="2025-12"/>
        <s v="2026-01"/>
        <s v="2026-02"/>
        <s v="2026-03"/>
        <s v="2026-04"/>
        <s v="2026-05"/>
        <s v="2026-06"/>
        <s v="2026-07"/>
      </sharedItems>
    </cacheField>
    <cacheField name="occupied_units" numFmtId="0">
      <sharedItems containsSemiMixedTypes="0" containsString="0" containsNumber="1" containsInteger="1" minValue="1" maxValue="8"/>
    </cacheField>
    <cacheField name="total_units" numFmtId="0">
      <sharedItems containsSemiMixedTypes="0" containsString="0" containsNumber="1" containsInteger="1" minValue="12" maxValue="12"/>
    </cacheField>
    <cacheField name="vacant_units" numFmtId="0">
      <sharedItems containsSemiMixedTypes="0" containsString="0" containsNumber="1" containsInteger="1" minValue="4" maxValue="11"/>
    </cacheField>
    <cacheField name="occupancy_rate" numFmtId="0">
      <sharedItems containsSemiMixedTypes="0" containsString="0" containsNumber="1" minValue="8.3333333333333301E-2" maxValue="0.666666666666666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620"/>
    <n v="1"/>
    <n v="1577.0769230769199"/>
    <n v="13"/>
    <n v="-42.923076923076898"/>
    <x v="0"/>
  </r>
  <r>
    <x v="1"/>
    <n v="1847"/>
    <n v="6"/>
    <n v="2044.2083333333301"/>
    <n v="24"/>
    <n v="197.208333333333"/>
    <x v="1"/>
  </r>
  <r>
    <x v="2"/>
    <n v="2321.5"/>
    <n v="2"/>
    <n v="2739.75"/>
    <n v="32"/>
    <n v="418.25"/>
    <x v="1"/>
  </r>
  <r>
    <x v="3"/>
    <n v="3077"/>
    <n v="3"/>
    <n v="3633.54545454545"/>
    <n v="11"/>
    <n v="556.54545454545496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n v="14594"/>
    <n v="12974"/>
    <n v="1620"/>
    <n v="6"/>
    <n v="1"/>
    <n v="0"/>
    <n v="0.88899547759353204"/>
  </r>
  <r>
    <x v="1"/>
    <n v="12685"/>
    <n v="10837"/>
    <n v="1848"/>
    <n v="3"/>
    <n v="1"/>
    <n v="0"/>
    <n v="0.85431612140323199"/>
  </r>
  <r>
    <x v="2"/>
    <n v="15670"/>
    <n v="15557"/>
    <n v="113"/>
    <n v="6"/>
    <n v="0"/>
    <n v="0"/>
    <n v="0.99278876834716001"/>
  </r>
  <r>
    <x v="3"/>
    <n v="17320"/>
    <n v="13081"/>
    <n v="4239"/>
    <n v="6"/>
    <n v="1"/>
    <n v="1"/>
    <n v="0.75525404157043896"/>
  </r>
  <r>
    <x v="4"/>
    <n v="17320"/>
    <n v="17252"/>
    <n v="68"/>
    <n v="7"/>
    <n v="0"/>
    <n v="0"/>
    <n v="0.99607390300230902"/>
  </r>
  <r>
    <x v="5"/>
    <n v="17407"/>
    <n v="17407"/>
    <n v="0"/>
    <n v="8"/>
    <n v="0"/>
    <n v="0"/>
    <n v="1"/>
  </r>
  <r>
    <x v="6"/>
    <n v="17407"/>
    <n v="15683"/>
    <n v="1724"/>
    <n v="6"/>
    <n v="1"/>
    <n v="0"/>
    <n v="0.90095938415579901"/>
  </r>
  <r>
    <x v="7"/>
    <n v="15787"/>
    <n v="8778"/>
    <n v="7009"/>
    <n v="4"/>
    <n v="2"/>
    <n v="1"/>
    <n v="0.556027110914043"/>
  </r>
  <r>
    <x v="8"/>
    <n v="13810"/>
    <n v="13556"/>
    <n v="254"/>
    <n v="4"/>
    <n v="0"/>
    <n v="0"/>
    <n v="0.98160753077480101"/>
  </r>
  <r>
    <x v="9"/>
    <n v="13810"/>
    <n v="13810"/>
    <n v="0"/>
    <n v="6"/>
    <n v="0"/>
    <n v="0"/>
    <n v="1"/>
  </r>
  <r>
    <x v="10"/>
    <n v="16866"/>
    <n v="14575"/>
    <n v="2291"/>
    <n v="2"/>
    <n v="1"/>
    <n v="0"/>
    <n v="0.86416459148582903"/>
  </r>
  <r>
    <x v="11"/>
    <n v="13676"/>
    <n v="10624"/>
    <n v="3052"/>
    <n v="4"/>
    <n v="1"/>
    <n v="0"/>
    <n v="0.77683533196841204"/>
  </r>
  <r>
    <x v="12"/>
    <n v="13676"/>
    <n v="13676"/>
    <n v="0"/>
    <n v="6"/>
    <n v="0"/>
    <n v="0"/>
    <n v="1"/>
  </r>
  <r>
    <x v="13"/>
    <n v="13676"/>
    <n v="13461"/>
    <n v="215"/>
    <n v="4"/>
    <n v="0"/>
    <n v="0"/>
    <n v="0.98427902895583497"/>
  </r>
  <r>
    <x v="14"/>
    <n v="13676"/>
    <n v="13676"/>
    <n v="0"/>
    <n v="6"/>
    <n v="0"/>
    <n v="0"/>
    <n v="1"/>
  </r>
  <r>
    <x v="15"/>
    <n v="10691"/>
    <n v="10691"/>
    <n v="0"/>
    <n v="5"/>
    <n v="0"/>
    <n v="0"/>
    <n v="1"/>
  </r>
  <r>
    <x v="16"/>
    <n v="10691"/>
    <n v="10334"/>
    <n v="357"/>
    <n v="3"/>
    <n v="0"/>
    <n v="0"/>
    <n v="0.96660742680759504"/>
  </r>
  <r>
    <x v="17"/>
    <n v="7071"/>
    <n v="7071"/>
    <n v="0"/>
    <n v="3"/>
    <n v="0"/>
    <n v="0"/>
    <n v="1"/>
  </r>
  <r>
    <x v="18"/>
    <n v="8997"/>
    <n v="8997"/>
    <n v="0"/>
    <n v="4"/>
    <n v="0"/>
    <n v="0"/>
    <n v="1"/>
  </r>
  <r>
    <x v="19"/>
    <n v="8997"/>
    <n v="8997"/>
    <n v="0"/>
    <n v="4"/>
    <n v="0"/>
    <n v="0"/>
    <n v="1"/>
  </r>
  <r>
    <x v="20"/>
    <n v="8997"/>
    <n v="5941"/>
    <n v="3056"/>
    <n v="3"/>
    <n v="1"/>
    <n v="0"/>
    <n v="0.66033122151828405"/>
  </r>
  <r>
    <x v="21"/>
    <n v="8997"/>
    <n v="8997"/>
    <n v="0"/>
    <n v="4"/>
    <n v="0"/>
    <n v="0"/>
    <n v="1"/>
  </r>
  <r>
    <x v="22"/>
    <n v="8997"/>
    <n v="8997"/>
    <n v="0"/>
    <n v="4"/>
    <n v="0"/>
    <n v="0"/>
    <n v="1"/>
  </r>
  <r>
    <x v="23"/>
    <n v="5941"/>
    <n v="5941"/>
    <n v="0"/>
    <n v="3"/>
    <n v="0"/>
    <n v="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n v="1"/>
    <n v="12"/>
    <n v="11"/>
    <n v="8.3333333333333301E-2"/>
  </r>
  <r>
    <x v="1"/>
    <n v="1"/>
    <n v="12"/>
    <n v="11"/>
    <n v="8.3333333333333301E-2"/>
  </r>
  <r>
    <x v="2"/>
    <n v="1"/>
    <n v="12"/>
    <n v="11"/>
    <n v="8.3333333333333301E-2"/>
  </r>
  <r>
    <x v="3"/>
    <n v="1"/>
    <n v="12"/>
    <n v="11"/>
    <n v="8.3333333333333301E-2"/>
  </r>
  <r>
    <x v="4"/>
    <n v="3"/>
    <n v="12"/>
    <n v="9"/>
    <n v="0.25"/>
  </r>
  <r>
    <x v="5"/>
    <n v="3"/>
    <n v="12"/>
    <n v="9"/>
    <n v="0.25"/>
  </r>
  <r>
    <x v="6"/>
    <n v="4"/>
    <n v="12"/>
    <n v="8"/>
    <n v="0.33333333333333298"/>
  </r>
  <r>
    <x v="7"/>
    <n v="5"/>
    <n v="12"/>
    <n v="7"/>
    <n v="0.41666666666666702"/>
  </r>
  <r>
    <x v="8"/>
    <n v="5"/>
    <n v="12"/>
    <n v="7"/>
    <n v="0.41666666666666702"/>
  </r>
  <r>
    <x v="9"/>
    <n v="5"/>
    <n v="12"/>
    <n v="7"/>
    <n v="0.41666666666666702"/>
  </r>
  <r>
    <x v="10"/>
    <n v="6"/>
    <n v="12"/>
    <n v="6"/>
    <n v="0.5"/>
  </r>
  <r>
    <x v="11"/>
    <n v="7"/>
    <n v="12"/>
    <n v="5"/>
    <n v="0.58333333333333304"/>
  </r>
  <r>
    <x v="12"/>
    <n v="7"/>
    <n v="12"/>
    <n v="5"/>
    <n v="0.58333333333333304"/>
  </r>
  <r>
    <x v="13"/>
    <n v="6"/>
    <n v="12"/>
    <n v="6"/>
    <n v="0.5"/>
  </r>
  <r>
    <x v="14"/>
    <n v="7"/>
    <n v="12"/>
    <n v="5"/>
    <n v="0.58333333333333304"/>
  </r>
  <r>
    <x v="15"/>
    <n v="8"/>
    <n v="12"/>
    <n v="4"/>
    <n v="0.66666666666666696"/>
  </r>
  <r>
    <x v="16"/>
    <n v="8"/>
    <n v="12"/>
    <n v="4"/>
    <n v="0.66666666666666696"/>
  </r>
  <r>
    <x v="17"/>
    <n v="8"/>
    <n v="12"/>
    <n v="4"/>
    <n v="0.66666666666666696"/>
  </r>
  <r>
    <x v="18"/>
    <n v="8"/>
    <n v="12"/>
    <n v="4"/>
    <n v="0.66666666666666696"/>
  </r>
  <r>
    <x v="19"/>
    <n v="7"/>
    <n v="12"/>
    <n v="5"/>
    <n v="0.58333333333333304"/>
  </r>
  <r>
    <x v="20"/>
    <n v="6"/>
    <n v="12"/>
    <n v="6"/>
    <n v="0.5"/>
  </r>
  <r>
    <x v="21"/>
    <n v="6"/>
    <n v="12"/>
    <n v="6"/>
    <n v="0.5"/>
  </r>
  <r>
    <x v="22"/>
    <n v="7"/>
    <n v="12"/>
    <n v="5"/>
    <n v="0.58333333333333304"/>
  </r>
  <r>
    <x v="23"/>
    <n v="6"/>
    <n v="12"/>
    <n v="6"/>
    <n v="0.5"/>
  </r>
  <r>
    <x v="24"/>
    <n v="6"/>
    <n v="12"/>
    <n v="6"/>
    <n v="0.5"/>
  </r>
  <r>
    <x v="25"/>
    <n v="6"/>
    <n v="12"/>
    <n v="6"/>
    <n v="0.5"/>
  </r>
  <r>
    <x v="26"/>
    <n v="6"/>
    <n v="12"/>
    <n v="6"/>
    <n v="0.5"/>
  </r>
  <r>
    <x v="27"/>
    <n v="5"/>
    <n v="12"/>
    <n v="7"/>
    <n v="0.41666666666666702"/>
  </r>
  <r>
    <x v="28"/>
    <n v="5"/>
    <n v="12"/>
    <n v="7"/>
    <n v="0.41666666666666702"/>
  </r>
  <r>
    <x v="29"/>
    <n v="3"/>
    <n v="12"/>
    <n v="9"/>
    <n v="0.25"/>
  </r>
  <r>
    <x v="30"/>
    <n v="4"/>
    <n v="12"/>
    <n v="8"/>
    <n v="0.33333333333333298"/>
  </r>
  <r>
    <x v="31"/>
    <n v="4"/>
    <n v="12"/>
    <n v="8"/>
    <n v="0.33333333333333298"/>
  </r>
  <r>
    <x v="32"/>
    <n v="4"/>
    <n v="12"/>
    <n v="8"/>
    <n v="0.33333333333333298"/>
  </r>
  <r>
    <x v="33"/>
    <n v="4"/>
    <n v="12"/>
    <n v="8"/>
    <n v="0.33333333333333298"/>
  </r>
  <r>
    <x v="34"/>
    <n v="4"/>
    <n v="12"/>
    <n v="8"/>
    <n v="0.33333333333333298"/>
  </r>
  <r>
    <x v="35"/>
    <n v="3"/>
    <n v="12"/>
    <n v="9"/>
    <n v="0.25"/>
  </r>
  <r>
    <x v="36"/>
    <n v="3"/>
    <n v="12"/>
    <n v="9"/>
    <n v="0.25"/>
  </r>
  <r>
    <x v="37"/>
    <n v="3"/>
    <n v="12"/>
    <n v="9"/>
    <n v="0.25"/>
  </r>
  <r>
    <x v="38"/>
    <n v="3"/>
    <n v="12"/>
    <n v="9"/>
    <n v="0.25"/>
  </r>
  <r>
    <x v="39"/>
    <n v="3"/>
    <n v="12"/>
    <n v="9"/>
    <n v="0.25"/>
  </r>
  <r>
    <x v="40"/>
    <n v="2"/>
    <n v="12"/>
    <n v="10"/>
    <n v="0.16666666666666699"/>
  </r>
  <r>
    <x v="41"/>
    <n v="2"/>
    <n v="12"/>
    <n v="10"/>
    <n v="0.16666666666666699"/>
  </r>
  <r>
    <x v="42"/>
    <n v="1"/>
    <n v="12"/>
    <n v="11"/>
    <n v="8.333333333333330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93A2F-A039-4397-93E0-13EEFD4FA0EA}" name="ptRevenue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E28" firstHeaderRow="0" firstDataRow="1" firstDataCol="1"/>
  <pivotFields count="8">
    <pivotField axis="axisRow" compact="0" numFmtId="14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Total Rent Due" fld="1" baseField="0" baseItem="0"/>
    <dataField name="Sum of Total Rent Paid" fld="2" baseField="0" baseItem="0"/>
    <dataField name="Sum of Total Unpaid Balance" fld="3" baseField="0" baseItem="0"/>
    <dataField name="Avg Monthly Collection Rate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B841F4-D9B9-4A53-B752-E7CA60557253}" name="ptOccupancy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E47" firstHeaderRow="0" firstDataRow="1" firstDataCol="1"/>
  <pivotFields count="5">
    <pivotField axis="axisRow" compact="0" outline="0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Occupied Units" fld="1" baseField="0" baseItem="0"/>
    <dataField name="Sum of Vacant Units" fld="3" baseField="0" baseItem="0"/>
    <dataField name="Sum of Total Units" fld="2" baseField="0" baseItem="0"/>
    <dataField name="Avg Occupancy Rate" fld="4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C5A499-135E-4597-8101-4A04A6AB7B44}" name="ptPricing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J10" firstHeaderRow="1" firstDataRow="3" firstDataCol="1"/>
  <pivotFields count="7">
    <pivotField axis="axisRow" compact="0" outline="0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2">
    <field x="6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Avg of Avg Actual Rent" fld="1" subtotal="average" baseField="0" baseItem="0" numFmtId="164"/>
    <dataField name="Avg of Avg Market Rent" fld="3" subtotal="average" baseField="0" baseItem="0" numFmtId="164"/>
    <dataField name="Avg of Rent Gap" fld="5" subtotal="average" baseField="0" baseItem="0" numFmtId="164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4F8A35-4793-4AD1-9D40-4803B19F58C6}" name="tblRevenueSummary" displayName="tblRevenueSummary" ref="A1:H25" totalsRowShown="0">
  <autoFilter ref="A1:H25" xr:uid="{B74F8A35-4793-4AD1-9D40-4803B19F58C6}"/>
  <tableColumns count="8">
    <tableColumn id="1" xr3:uid="{74553AFB-F197-4196-9798-6887893D70FD}" name="month" dataDxfId="14"/>
    <tableColumn id="2" xr3:uid="{8E42EDF5-E2C4-41DA-91F7-71A84CF6B060}" name="total_rent_due"/>
    <tableColumn id="3" xr3:uid="{E11475D1-F07A-476C-962D-6FE6A462297E}" name="total_rent_paid"/>
    <tableColumn id="4" xr3:uid="{391117B0-DDAA-4281-BE07-F24B7E141442}" name="total_unpaid_balance"/>
    <tableColumn id="5" xr3:uid="{5BC436CE-5FB9-4D95-8DD8-7C81ED360F0C}" name="paid_records"/>
    <tableColumn id="6" xr3:uid="{2EFCBABA-A561-494F-89C5-6A550C7F319E}" name="late_records"/>
    <tableColumn id="7" xr3:uid="{2CC63F8D-EFE9-4CA7-A3BF-B7B56D0FF2A8}" name="unpaid_records"/>
    <tableColumn id="8" xr3:uid="{CBEE4B91-F344-425A-8EB5-BCE17C2F4886}" name="monthly_collection_r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4FC915-D2D8-42C4-8671-957776AFD896}" name="tblPricingComparison" displayName="tblPricingComparison" ref="A1:G5" totalsRowShown="0" headerRowDxfId="11" dataDxfId="9" headerRowBorderDxfId="10" tableBorderDxfId="8" totalsRowBorderDxfId="7">
  <autoFilter ref="A1:G5" xr:uid="{564FC915-D2D8-42C4-8671-957776AFD896}"/>
  <tableColumns count="7">
    <tableColumn id="1" xr3:uid="{487862CA-6B63-48AB-B6EE-6E73BEEEB4D0}" name="Bedrooms" dataDxfId="6"/>
    <tableColumn id="2" xr3:uid="{186C250C-1EEC-43A1-8281-B5CE34964B18}" name="Avg Actual Rent" dataDxfId="5"/>
    <tableColumn id="3" xr3:uid="{F27BF0EB-F236-40DD-B695-DA4CAD7B2A86}" name="Lease Count" dataDxfId="4"/>
    <tableColumn id="4" xr3:uid="{C8841ADF-0D51-4E2B-9275-7A9C6E8E23DD}" name="Avg Market Rent" dataDxfId="3"/>
    <tableColumn id="5" xr3:uid="{EE7C9CE9-386F-4423-BEAF-F25F7D443971}" name="Comparable Count" dataDxfId="2"/>
    <tableColumn id="6" xr3:uid="{C1324E9F-F86C-4684-B773-2CE2309DC69E}" name="Rent Gap" dataDxfId="1"/>
    <tableColumn id="7" xr3:uid="{8F76577E-09C9-4531-9C22-B25C665A9459}" name="Pricing Position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B2A9CF-F14E-480F-B58F-756BE70183D9}" name="tblOccupancyTrends" displayName="tblOccupancyTrends" ref="A1:E44" totalsRowShown="0">
  <autoFilter ref="A1:E44" xr:uid="{77B2A9CF-F14E-480F-B58F-756BE70183D9}"/>
  <tableColumns count="5">
    <tableColumn id="1" xr3:uid="{EDBA8647-F33B-41FA-8513-85559DC9E37F}" name="month"/>
    <tableColumn id="2" xr3:uid="{820BCC27-2D91-4207-BC41-AEB4B2157F80}" name="occupied_units"/>
    <tableColumn id="3" xr3:uid="{98FF9A23-FC9A-47DE-A544-A4261E16A470}" name="total_units"/>
    <tableColumn id="4" xr3:uid="{FF11F95D-2891-48EF-B2E7-BC9BF6A13370}" name="vacant_units"/>
    <tableColumn id="5" xr3:uid="{5DB84001-AFAA-4263-BA47-D4B71A7E8252}" name="occupancy_r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5B02D-578C-4573-A300-039525EB96B9}" name="tblExpenseSummary" displayName="tblExpenseSummary" ref="A1:D74" totalsRowShown="0">
  <autoFilter ref="A1:D74" xr:uid="{F765B02D-578C-4573-A300-039525EB96B9}"/>
  <tableColumns count="4">
    <tableColumn id="1" xr3:uid="{F6117D98-3D48-4CC5-BCB2-4DDB5F6C32C9}" name="expense_month"/>
    <tableColumn id="2" xr3:uid="{FD9DCFB1-AE92-48C5-9FEE-BB0FBD1A626A}" name="category"/>
    <tableColumn id="3" xr3:uid="{49A932E7-3B31-4327-B21B-C7EF58A96006}" name="total_expense_amount"/>
    <tableColumn id="4" xr3:uid="{D473C037-B1A6-4D30-B4C0-8D66FE76111E}" name="expense_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6"/>
  <sheetViews>
    <sheetView workbookViewId="0"/>
  </sheetViews>
  <sheetFormatPr defaultRowHeight="14.4" x14ac:dyDescent="0.3"/>
  <sheetData>
    <row r="1" spans="1:1" x14ac:dyDescent="0.3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9" spans="1:1" x14ac:dyDescent="0.3">
      <c r="A9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6" spans="1:1" x14ac:dyDescent="0.3">
      <c r="A16" t="s">
        <v>12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418E7-B22B-4AEF-BC09-70F06BE54830}">
  <sheetPr codeName="Sheet2"/>
  <dimension ref="A1:H25"/>
  <sheetViews>
    <sheetView workbookViewId="0">
      <selection activeCell="F36" sqref="F36"/>
    </sheetView>
  </sheetViews>
  <sheetFormatPr defaultRowHeight="14.4" x14ac:dyDescent="0.3"/>
  <cols>
    <col min="1" max="1" width="9.5546875" bestFit="1" customWidth="1"/>
    <col min="2" max="2" width="15.88671875" customWidth="1"/>
    <col min="3" max="3" width="16.21875" customWidth="1"/>
    <col min="4" max="4" width="21.5546875" customWidth="1"/>
    <col min="5" max="5" width="14" customWidth="1"/>
    <col min="6" max="6" width="13.6640625" customWidth="1"/>
    <col min="7" max="7" width="16.21875" customWidth="1"/>
    <col min="8" max="8" width="24" customWidth="1"/>
  </cols>
  <sheetData>
    <row r="1" spans="1:8" x14ac:dyDescent="0.3">
      <c r="A1" t="s">
        <v>13</v>
      </c>
      <c r="B1" t="s">
        <v>14</v>
      </c>
      <c r="C1" t="s">
        <v>15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</row>
    <row r="2" spans="1:8" x14ac:dyDescent="0.3">
      <c r="A2" s="2">
        <v>45292</v>
      </c>
      <c r="B2">
        <v>14594</v>
      </c>
      <c r="C2">
        <v>12974</v>
      </c>
      <c r="D2">
        <v>1620</v>
      </c>
      <c r="E2">
        <v>6</v>
      </c>
      <c r="F2">
        <v>1</v>
      </c>
      <c r="G2">
        <v>0</v>
      </c>
      <c r="H2">
        <v>0.88899547759353204</v>
      </c>
    </row>
    <row r="3" spans="1:8" x14ac:dyDescent="0.3">
      <c r="A3" s="2">
        <v>45323</v>
      </c>
      <c r="B3">
        <v>12685</v>
      </c>
      <c r="C3">
        <v>10837</v>
      </c>
      <c r="D3">
        <v>1848</v>
      </c>
      <c r="E3">
        <v>3</v>
      </c>
      <c r="F3">
        <v>1</v>
      </c>
      <c r="G3">
        <v>0</v>
      </c>
      <c r="H3">
        <v>0.85431612140323199</v>
      </c>
    </row>
    <row r="4" spans="1:8" x14ac:dyDescent="0.3">
      <c r="A4" s="2">
        <v>45352</v>
      </c>
      <c r="B4">
        <v>15670</v>
      </c>
      <c r="C4">
        <v>15557</v>
      </c>
      <c r="D4">
        <v>113</v>
      </c>
      <c r="E4">
        <v>6</v>
      </c>
      <c r="F4">
        <v>0</v>
      </c>
      <c r="G4">
        <v>0</v>
      </c>
      <c r="H4">
        <v>0.99278876834716001</v>
      </c>
    </row>
    <row r="5" spans="1:8" x14ac:dyDescent="0.3">
      <c r="A5" s="2">
        <v>45383</v>
      </c>
      <c r="B5">
        <v>17320</v>
      </c>
      <c r="C5">
        <v>13081</v>
      </c>
      <c r="D5">
        <v>4239</v>
      </c>
      <c r="E5">
        <v>6</v>
      </c>
      <c r="F5">
        <v>1</v>
      </c>
      <c r="G5">
        <v>1</v>
      </c>
      <c r="H5">
        <v>0.75525404157043896</v>
      </c>
    </row>
    <row r="6" spans="1:8" x14ac:dyDescent="0.3">
      <c r="A6" s="2">
        <v>45413</v>
      </c>
      <c r="B6">
        <v>17320</v>
      </c>
      <c r="C6">
        <v>17252</v>
      </c>
      <c r="D6">
        <v>68</v>
      </c>
      <c r="E6">
        <v>7</v>
      </c>
      <c r="F6">
        <v>0</v>
      </c>
      <c r="G6">
        <v>0</v>
      </c>
      <c r="H6">
        <v>0.99607390300230902</v>
      </c>
    </row>
    <row r="7" spans="1:8" x14ac:dyDescent="0.3">
      <c r="A7" s="2">
        <v>45444</v>
      </c>
      <c r="B7">
        <v>17407</v>
      </c>
      <c r="C7">
        <v>17407</v>
      </c>
      <c r="D7">
        <v>0</v>
      </c>
      <c r="E7">
        <v>8</v>
      </c>
      <c r="F7">
        <v>0</v>
      </c>
      <c r="G7">
        <v>0</v>
      </c>
      <c r="H7">
        <v>1</v>
      </c>
    </row>
    <row r="8" spans="1:8" x14ac:dyDescent="0.3">
      <c r="A8" s="2">
        <v>45474</v>
      </c>
      <c r="B8">
        <v>17407</v>
      </c>
      <c r="C8">
        <v>15683</v>
      </c>
      <c r="D8">
        <v>1724</v>
      </c>
      <c r="E8">
        <v>6</v>
      </c>
      <c r="F8">
        <v>1</v>
      </c>
      <c r="G8">
        <v>0</v>
      </c>
      <c r="H8">
        <v>0.90095938415579901</v>
      </c>
    </row>
    <row r="9" spans="1:8" x14ac:dyDescent="0.3">
      <c r="A9" s="2">
        <v>45505</v>
      </c>
      <c r="B9">
        <v>15787</v>
      </c>
      <c r="C9">
        <v>8778</v>
      </c>
      <c r="D9">
        <v>7009</v>
      </c>
      <c r="E9">
        <v>4</v>
      </c>
      <c r="F9">
        <v>2</v>
      </c>
      <c r="G9">
        <v>1</v>
      </c>
      <c r="H9">
        <v>0.556027110914043</v>
      </c>
    </row>
    <row r="10" spans="1:8" x14ac:dyDescent="0.3">
      <c r="A10" s="2">
        <v>45536</v>
      </c>
      <c r="B10">
        <v>13810</v>
      </c>
      <c r="C10">
        <v>13556</v>
      </c>
      <c r="D10">
        <v>254</v>
      </c>
      <c r="E10">
        <v>4</v>
      </c>
      <c r="F10">
        <v>0</v>
      </c>
      <c r="G10">
        <v>0</v>
      </c>
      <c r="H10">
        <v>0.98160753077480101</v>
      </c>
    </row>
    <row r="11" spans="1:8" x14ac:dyDescent="0.3">
      <c r="A11" s="2">
        <v>45566</v>
      </c>
      <c r="B11">
        <v>13810</v>
      </c>
      <c r="C11">
        <v>13810</v>
      </c>
      <c r="D11">
        <v>0</v>
      </c>
      <c r="E11">
        <v>6</v>
      </c>
      <c r="F11">
        <v>0</v>
      </c>
      <c r="G11">
        <v>0</v>
      </c>
      <c r="H11">
        <v>1</v>
      </c>
    </row>
    <row r="12" spans="1:8" x14ac:dyDescent="0.3">
      <c r="A12" s="2">
        <v>45597</v>
      </c>
      <c r="B12">
        <v>16866</v>
      </c>
      <c r="C12">
        <v>14575</v>
      </c>
      <c r="D12">
        <v>2291</v>
      </c>
      <c r="E12">
        <v>2</v>
      </c>
      <c r="F12">
        <v>1</v>
      </c>
      <c r="G12">
        <v>0</v>
      </c>
      <c r="H12">
        <v>0.86416459148582903</v>
      </c>
    </row>
    <row r="13" spans="1:8" x14ac:dyDescent="0.3">
      <c r="A13" s="2">
        <v>45627</v>
      </c>
      <c r="B13">
        <v>13676</v>
      </c>
      <c r="C13">
        <v>10624</v>
      </c>
      <c r="D13">
        <v>3052</v>
      </c>
      <c r="E13">
        <v>4</v>
      </c>
      <c r="F13">
        <v>1</v>
      </c>
      <c r="G13">
        <v>0</v>
      </c>
      <c r="H13">
        <v>0.77683533196841204</v>
      </c>
    </row>
    <row r="14" spans="1:8" x14ac:dyDescent="0.3">
      <c r="A14" s="2">
        <v>45658</v>
      </c>
      <c r="B14">
        <v>13676</v>
      </c>
      <c r="C14">
        <v>13676</v>
      </c>
      <c r="D14">
        <v>0</v>
      </c>
      <c r="E14">
        <v>6</v>
      </c>
      <c r="F14">
        <v>0</v>
      </c>
      <c r="G14">
        <v>0</v>
      </c>
      <c r="H14">
        <v>1</v>
      </c>
    </row>
    <row r="15" spans="1:8" x14ac:dyDescent="0.3">
      <c r="A15" s="2">
        <v>45689</v>
      </c>
      <c r="B15">
        <v>13676</v>
      </c>
      <c r="C15">
        <v>13461</v>
      </c>
      <c r="D15">
        <v>215</v>
      </c>
      <c r="E15">
        <v>4</v>
      </c>
      <c r="F15">
        <v>0</v>
      </c>
      <c r="G15">
        <v>0</v>
      </c>
      <c r="H15">
        <v>0.98427902895583497</v>
      </c>
    </row>
    <row r="16" spans="1:8" x14ac:dyDescent="0.3">
      <c r="A16" s="2">
        <v>45717</v>
      </c>
      <c r="B16">
        <v>13676</v>
      </c>
      <c r="C16">
        <v>13676</v>
      </c>
      <c r="D16">
        <v>0</v>
      </c>
      <c r="E16">
        <v>6</v>
      </c>
      <c r="F16">
        <v>0</v>
      </c>
      <c r="G16">
        <v>0</v>
      </c>
      <c r="H16">
        <v>1</v>
      </c>
    </row>
    <row r="17" spans="1:8" x14ac:dyDescent="0.3">
      <c r="A17" s="2">
        <v>45748</v>
      </c>
      <c r="B17">
        <v>10691</v>
      </c>
      <c r="C17">
        <v>10691</v>
      </c>
      <c r="D17">
        <v>0</v>
      </c>
      <c r="E17">
        <v>5</v>
      </c>
      <c r="F17">
        <v>0</v>
      </c>
      <c r="G17">
        <v>0</v>
      </c>
      <c r="H17">
        <v>1</v>
      </c>
    </row>
    <row r="18" spans="1:8" x14ac:dyDescent="0.3">
      <c r="A18" s="2">
        <v>45778</v>
      </c>
      <c r="B18">
        <v>10691</v>
      </c>
      <c r="C18">
        <v>10334</v>
      </c>
      <c r="D18">
        <v>357</v>
      </c>
      <c r="E18">
        <v>3</v>
      </c>
      <c r="F18">
        <v>0</v>
      </c>
      <c r="G18">
        <v>0</v>
      </c>
      <c r="H18">
        <v>0.96660742680759504</v>
      </c>
    </row>
    <row r="19" spans="1:8" x14ac:dyDescent="0.3">
      <c r="A19" s="2">
        <v>45809</v>
      </c>
      <c r="B19">
        <v>7071</v>
      </c>
      <c r="C19">
        <v>7071</v>
      </c>
      <c r="D19">
        <v>0</v>
      </c>
      <c r="E19">
        <v>3</v>
      </c>
      <c r="F19">
        <v>0</v>
      </c>
      <c r="G19">
        <v>0</v>
      </c>
      <c r="H19">
        <v>1</v>
      </c>
    </row>
    <row r="20" spans="1:8" x14ac:dyDescent="0.3">
      <c r="A20" s="2">
        <v>45839</v>
      </c>
      <c r="B20">
        <v>8997</v>
      </c>
      <c r="C20">
        <v>8997</v>
      </c>
      <c r="D20">
        <v>0</v>
      </c>
      <c r="E20">
        <v>4</v>
      </c>
      <c r="F20">
        <v>0</v>
      </c>
      <c r="G20">
        <v>0</v>
      </c>
      <c r="H20">
        <v>1</v>
      </c>
    </row>
    <row r="21" spans="1:8" x14ac:dyDescent="0.3">
      <c r="A21" s="2">
        <v>45870</v>
      </c>
      <c r="B21">
        <v>8997</v>
      </c>
      <c r="C21">
        <v>8997</v>
      </c>
      <c r="D21">
        <v>0</v>
      </c>
      <c r="E21">
        <v>4</v>
      </c>
      <c r="F21">
        <v>0</v>
      </c>
      <c r="G21">
        <v>0</v>
      </c>
      <c r="H21">
        <v>1</v>
      </c>
    </row>
    <row r="22" spans="1:8" x14ac:dyDescent="0.3">
      <c r="A22" s="2">
        <v>45901</v>
      </c>
      <c r="B22">
        <v>8997</v>
      </c>
      <c r="C22">
        <v>5941</v>
      </c>
      <c r="D22">
        <v>3056</v>
      </c>
      <c r="E22">
        <v>3</v>
      </c>
      <c r="F22">
        <v>1</v>
      </c>
      <c r="G22">
        <v>0</v>
      </c>
      <c r="H22">
        <v>0.66033122151828405</v>
      </c>
    </row>
    <row r="23" spans="1:8" x14ac:dyDescent="0.3">
      <c r="A23" s="2">
        <v>45931</v>
      </c>
      <c r="B23">
        <v>8997</v>
      </c>
      <c r="C23">
        <v>8997</v>
      </c>
      <c r="D23">
        <v>0</v>
      </c>
      <c r="E23">
        <v>4</v>
      </c>
      <c r="F23">
        <v>0</v>
      </c>
      <c r="G23">
        <v>0</v>
      </c>
      <c r="H23">
        <v>1</v>
      </c>
    </row>
    <row r="24" spans="1:8" x14ac:dyDescent="0.3">
      <c r="A24" s="2">
        <v>45962</v>
      </c>
      <c r="B24">
        <v>8997</v>
      </c>
      <c r="C24">
        <v>8997</v>
      </c>
      <c r="D24">
        <v>0</v>
      </c>
      <c r="E24">
        <v>4</v>
      </c>
      <c r="F24">
        <v>0</v>
      </c>
      <c r="G24">
        <v>0</v>
      </c>
      <c r="H24">
        <v>1</v>
      </c>
    </row>
    <row r="25" spans="1:8" x14ac:dyDescent="0.3">
      <c r="A25" s="2">
        <v>45992</v>
      </c>
      <c r="B25">
        <v>5941</v>
      </c>
      <c r="C25">
        <v>5941</v>
      </c>
      <c r="D25">
        <v>0</v>
      </c>
      <c r="E25">
        <v>3</v>
      </c>
      <c r="F25">
        <v>0</v>
      </c>
      <c r="G25">
        <v>0</v>
      </c>
      <c r="H25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74A03-8012-4B99-ACDD-0C1EBBE74084}">
  <sheetPr codeName="Sheet3"/>
  <dimension ref="A1:G5"/>
  <sheetViews>
    <sheetView showGridLines="0" workbookViewId="0">
      <selection activeCell="F15" sqref="F15"/>
    </sheetView>
  </sheetViews>
  <sheetFormatPr defaultRowHeight="14.4" x14ac:dyDescent="0.3"/>
  <cols>
    <col min="1" max="1" width="14.109375" bestFit="1" customWidth="1"/>
    <col min="2" max="2" width="19" style="7" bestFit="1" customWidth="1"/>
    <col min="3" max="3" width="15.77734375" bestFit="1" customWidth="1"/>
    <col min="4" max="4" width="19.88671875" style="7" bestFit="1" customWidth="1"/>
    <col min="5" max="5" width="21.6640625" bestFit="1" customWidth="1"/>
    <col min="6" max="6" width="13.33203125" style="7" bestFit="1" customWidth="1"/>
    <col min="7" max="7" width="18.88671875" bestFit="1" customWidth="1"/>
    <col min="8" max="8" width="19.44140625" customWidth="1"/>
  </cols>
  <sheetData>
    <row r="1" spans="1:7" x14ac:dyDescent="0.3">
      <c r="A1" s="4" t="s">
        <v>32</v>
      </c>
      <c r="B1" s="6" t="s">
        <v>33</v>
      </c>
      <c r="C1" s="3" t="s">
        <v>34</v>
      </c>
      <c r="D1" s="6" t="s">
        <v>35</v>
      </c>
      <c r="E1" s="3" t="s">
        <v>36</v>
      </c>
      <c r="F1" s="6" t="s">
        <v>37</v>
      </c>
      <c r="G1" s="5" t="s">
        <v>38</v>
      </c>
    </row>
    <row r="2" spans="1:7" x14ac:dyDescent="0.3">
      <c r="A2" s="12">
        <v>0</v>
      </c>
      <c r="B2" s="16">
        <v>1620</v>
      </c>
      <c r="C2" s="10">
        <v>1</v>
      </c>
      <c r="D2" s="16">
        <v>1577.0769230769199</v>
      </c>
      <c r="E2" s="10">
        <v>13</v>
      </c>
      <c r="F2" s="16">
        <v>-42.923076923076898</v>
      </c>
      <c r="G2" s="14" t="s">
        <v>88</v>
      </c>
    </row>
    <row r="3" spans="1:7" x14ac:dyDescent="0.3">
      <c r="A3" s="12">
        <v>1</v>
      </c>
      <c r="B3" s="16">
        <v>1847</v>
      </c>
      <c r="C3" s="10">
        <v>6</v>
      </c>
      <c r="D3" s="16">
        <v>2044.2083333333301</v>
      </c>
      <c r="E3" s="10">
        <v>24</v>
      </c>
      <c r="F3" s="16">
        <v>197.208333333333</v>
      </c>
      <c r="G3" s="14" t="s">
        <v>89</v>
      </c>
    </row>
    <row r="4" spans="1:7" x14ac:dyDescent="0.3">
      <c r="A4" s="12">
        <v>2</v>
      </c>
      <c r="B4" s="16">
        <v>2321.5</v>
      </c>
      <c r="C4" s="10">
        <v>2</v>
      </c>
      <c r="D4" s="16">
        <v>2739.75</v>
      </c>
      <c r="E4" s="10">
        <v>32</v>
      </c>
      <c r="F4" s="16">
        <v>418.25</v>
      </c>
      <c r="G4" s="14" t="s">
        <v>89</v>
      </c>
    </row>
    <row r="5" spans="1:7" x14ac:dyDescent="0.3">
      <c r="A5" s="13">
        <v>3</v>
      </c>
      <c r="B5" s="17">
        <v>3077</v>
      </c>
      <c r="C5" s="11">
        <v>3</v>
      </c>
      <c r="D5" s="17">
        <v>3633.54545454545</v>
      </c>
      <c r="E5" s="11">
        <v>11</v>
      </c>
      <c r="F5" s="17">
        <v>556.54545454545496</v>
      </c>
      <c r="G5" s="15" t="s">
        <v>89</v>
      </c>
    </row>
  </sheetData>
  <conditionalFormatting sqref="G2:G5">
    <cfRule type="cellIs" dxfId="13" priority="1" stopIfTrue="1" operator="equal">
      <formula>"Below Market"</formula>
    </cfRule>
    <cfRule type="cellIs" dxfId="12" priority="2" stopIfTrue="1" operator="equal">
      <formula>"Above Market"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F2FF3-A0E7-4FE5-9D3C-3F3869097C7B}">
  <sheetPr codeName="Sheet4"/>
  <dimension ref="A1:E44"/>
  <sheetViews>
    <sheetView topLeftCell="A2" workbookViewId="0">
      <selection activeCell="A2" sqref="A2:E44"/>
    </sheetView>
  </sheetViews>
  <sheetFormatPr defaultRowHeight="14.4" x14ac:dyDescent="0.3"/>
  <cols>
    <col min="1" max="1" width="8.6640625" customWidth="1"/>
    <col min="2" max="2" width="16" customWidth="1"/>
    <col min="3" max="3" width="12.21875" customWidth="1"/>
    <col min="4" max="4" width="13.77734375" customWidth="1"/>
    <col min="5" max="5" width="16.33203125" customWidth="1"/>
  </cols>
  <sheetData>
    <row r="1" spans="1:5" x14ac:dyDescent="0.3">
      <c r="A1" t="s">
        <v>13</v>
      </c>
      <c r="B1" t="s">
        <v>19</v>
      </c>
      <c r="C1" t="s">
        <v>20</v>
      </c>
      <c r="D1" t="s">
        <v>24</v>
      </c>
      <c r="E1" t="s">
        <v>21</v>
      </c>
    </row>
    <row r="2" spans="1:5" x14ac:dyDescent="0.3">
      <c r="A2" t="s">
        <v>69</v>
      </c>
      <c r="B2">
        <v>1</v>
      </c>
      <c r="C2">
        <v>12</v>
      </c>
      <c r="D2">
        <v>11</v>
      </c>
      <c r="E2">
        <v>8.3333333333333301E-2</v>
      </c>
    </row>
    <row r="3" spans="1:5" x14ac:dyDescent="0.3">
      <c r="A3" t="s">
        <v>70</v>
      </c>
      <c r="B3">
        <v>1</v>
      </c>
      <c r="C3">
        <v>12</v>
      </c>
      <c r="D3">
        <v>11</v>
      </c>
      <c r="E3">
        <v>8.3333333333333301E-2</v>
      </c>
    </row>
    <row r="4" spans="1:5" x14ac:dyDescent="0.3">
      <c r="A4" t="s">
        <v>71</v>
      </c>
      <c r="B4">
        <v>1</v>
      </c>
      <c r="C4">
        <v>12</v>
      </c>
      <c r="D4">
        <v>11</v>
      </c>
      <c r="E4">
        <v>8.3333333333333301E-2</v>
      </c>
    </row>
    <row r="5" spans="1:5" x14ac:dyDescent="0.3">
      <c r="A5" t="s">
        <v>72</v>
      </c>
      <c r="B5">
        <v>1</v>
      </c>
      <c r="C5">
        <v>12</v>
      </c>
      <c r="D5">
        <v>11</v>
      </c>
      <c r="E5">
        <v>8.3333333333333301E-2</v>
      </c>
    </row>
    <row r="6" spans="1:5" x14ac:dyDescent="0.3">
      <c r="A6" t="s">
        <v>73</v>
      </c>
      <c r="B6">
        <v>3</v>
      </c>
      <c r="C6">
        <v>12</v>
      </c>
      <c r="D6">
        <v>9</v>
      </c>
      <c r="E6">
        <v>0.25</v>
      </c>
    </row>
    <row r="7" spans="1:5" x14ac:dyDescent="0.3">
      <c r="A7" t="s">
        <v>74</v>
      </c>
      <c r="B7">
        <v>3</v>
      </c>
      <c r="C7">
        <v>12</v>
      </c>
      <c r="D7">
        <v>9</v>
      </c>
      <c r="E7">
        <v>0.25</v>
      </c>
    </row>
    <row r="8" spans="1:5" x14ac:dyDescent="0.3">
      <c r="A8" t="s">
        <v>75</v>
      </c>
      <c r="B8">
        <v>4</v>
      </c>
      <c r="C8">
        <v>12</v>
      </c>
      <c r="D8">
        <v>8</v>
      </c>
      <c r="E8">
        <v>0.33333333333333298</v>
      </c>
    </row>
    <row r="9" spans="1:5" x14ac:dyDescent="0.3">
      <c r="A9" t="s">
        <v>76</v>
      </c>
      <c r="B9">
        <v>5</v>
      </c>
      <c r="C9">
        <v>12</v>
      </c>
      <c r="D9">
        <v>7</v>
      </c>
      <c r="E9">
        <v>0.41666666666666702</v>
      </c>
    </row>
    <row r="10" spans="1:5" x14ac:dyDescent="0.3">
      <c r="A10" t="s">
        <v>77</v>
      </c>
      <c r="B10">
        <v>5</v>
      </c>
      <c r="C10">
        <v>12</v>
      </c>
      <c r="D10">
        <v>7</v>
      </c>
      <c r="E10">
        <v>0.41666666666666702</v>
      </c>
    </row>
    <row r="11" spans="1:5" x14ac:dyDescent="0.3">
      <c r="A11" t="s">
        <v>78</v>
      </c>
      <c r="B11">
        <v>5</v>
      </c>
      <c r="C11">
        <v>12</v>
      </c>
      <c r="D11">
        <v>7</v>
      </c>
      <c r="E11">
        <v>0.41666666666666702</v>
      </c>
    </row>
    <row r="12" spans="1:5" x14ac:dyDescent="0.3">
      <c r="A12" t="s">
        <v>79</v>
      </c>
      <c r="B12">
        <v>6</v>
      </c>
      <c r="C12">
        <v>12</v>
      </c>
      <c r="D12">
        <v>6</v>
      </c>
      <c r="E12">
        <v>0.5</v>
      </c>
    </row>
    <row r="13" spans="1:5" x14ac:dyDescent="0.3">
      <c r="A13" t="s">
        <v>80</v>
      </c>
      <c r="B13">
        <v>7</v>
      </c>
      <c r="C13">
        <v>12</v>
      </c>
      <c r="D13">
        <v>5</v>
      </c>
      <c r="E13">
        <v>0.58333333333333304</v>
      </c>
    </row>
    <row r="14" spans="1:5" x14ac:dyDescent="0.3">
      <c r="A14" t="s">
        <v>41</v>
      </c>
      <c r="B14">
        <v>7</v>
      </c>
      <c r="C14">
        <v>12</v>
      </c>
      <c r="D14">
        <v>5</v>
      </c>
      <c r="E14">
        <v>0.58333333333333304</v>
      </c>
    </row>
    <row r="15" spans="1:5" x14ac:dyDescent="0.3">
      <c r="A15" t="s">
        <v>45</v>
      </c>
      <c r="B15">
        <v>6</v>
      </c>
      <c r="C15">
        <v>12</v>
      </c>
      <c r="D15">
        <v>6</v>
      </c>
      <c r="E15">
        <v>0.5</v>
      </c>
    </row>
    <row r="16" spans="1:5" x14ac:dyDescent="0.3">
      <c r="A16" t="s">
        <v>47</v>
      </c>
      <c r="B16">
        <v>7</v>
      </c>
      <c r="C16">
        <v>12</v>
      </c>
      <c r="D16">
        <v>5</v>
      </c>
      <c r="E16">
        <v>0.58333333333333304</v>
      </c>
    </row>
    <row r="17" spans="1:5" x14ac:dyDescent="0.3">
      <c r="A17" t="s">
        <v>48</v>
      </c>
      <c r="B17">
        <v>8</v>
      </c>
      <c r="C17">
        <v>12</v>
      </c>
      <c r="D17">
        <v>4</v>
      </c>
      <c r="E17">
        <v>0.66666666666666696</v>
      </c>
    </row>
    <row r="18" spans="1:5" x14ac:dyDescent="0.3">
      <c r="A18" t="s">
        <v>49</v>
      </c>
      <c r="B18">
        <v>8</v>
      </c>
      <c r="C18">
        <v>12</v>
      </c>
      <c r="D18">
        <v>4</v>
      </c>
      <c r="E18">
        <v>0.66666666666666696</v>
      </c>
    </row>
    <row r="19" spans="1:5" x14ac:dyDescent="0.3">
      <c r="A19" t="s">
        <v>50</v>
      </c>
      <c r="B19">
        <v>8</v>
      </c>
      <c r="C19">
        <v>12</v>
      </c>
      <c r="D19">
        <v>4</v>
      </c>
      <c r="E19">
        <v>0.66666666666666696</v>
      </c>
    </row>
    <row r="20" spans="1:5" x14ac:dyDescent="0.3">
      <c r="A20" t="s">
        <v>51</v>
      </c>
      <c r="B20">
        <v>8</v>
      </c>
      <c r="C20">
        <v>12</v>
      </c>
      <c r="D20">
        <v>4</v>
      </c>
      <c r="E20">
        <v>0.66666666666666696</v>
      </c>
    </row>
    <row r="21" spans="1:5" x14ac:dyDescent="0.3">
      <c r="A21" t="s">
        <v>52</v>
      </c>
      <c r="B21">
        <v>7</v>
      </c>
      <c r="C21">
        <v>12</v>
      </c>
      <c r="D21">
        <v>5</v>
      </c>
      <c r="E21">
        <v>0.58333333333333304</v>
      </c>
    </row>
    <row r="22" spans="1:5" x14ac:dyDescent="0.3">
      <c r="A22" t="s">
        <v>53</v>
      </c>
      <c r="B22">
        <v>6</v>
      </c>
      <c r="C22">
        <v>12</v>
      </c>
      <c r="D22">
        <v>6</v>
      </c>
      <c r="E22">
        <v>0.5</v>
      </c>
    </row>
    <row r="23" spans="1:5" x14ac:dyDescent="0.3">
      <c r="A23" t="s">
        <v>54</v>
      </c>
      <c r="B23">
        <v>6</v>
      </c>
      <c r="C23">
        <v>12</v>
      </c>
      <c r="D23">
        <v>6</v>
      </c>
      <c r="E23">
        <v>0.5</v>
      </c>
    </row>
    <row r="24" spans="1:5" x14ac:dyDescent="0.3">
      <c r="A24" t="s">
        <v>55</v>
      </c>
      <c r="B24">
        <v>7</v>
      </c>
      <c r="C24">
        <v>12</v>
      </c>
      <c r="D24">
        <v>5</v>
      </c>
      <c r="E24">
        <v>0.58333333333333304</v>
      </c>
    </row>
    <row r="25" spans="1:5" x14ac:dyDescent="0.3">
      <c r="A25" t="s">
        <v>56</v>
      </c>
      <c r="B25">
        <v>6</v>
      </c>
      <c r="C25">
        <v>12</v>
      </c>
      <c r="D25">
        <v>6</v>
      </c>
      <c r="E25">
        <v>0.5</v>
      </c>
    </row>
    <row r="26" spans="1:5" x14ac:dyDescent="0.3">
      <c r="A26" t="s">
        <v>57</v>
      </c>
      <c r="B26">
        <v>6</v>
      </c>
      <c r="C26">
        <v>12</v>
      </c>
      <c r="D26">
        <v>6</v>
      </c>
      <c r="E26">
        <v>0.5</v>
      </c>
    </row>
    <row r="27" spans="1:5" x14ac:dyDescent="0.3">
      <c r="A27" t="s">
        <v>58</v>
      </c>
      <c r="B27">
        <v>6</v>
      </c>
      <c r="C27">
        <v>12</v>
      </c>
      <c r="D27">
        <v>6</v>
      </c>
      <c r="E27">
        <v>0.5</v>
      </c>
    </row>
    <row r="28" spans="1:5" x14ac:dyDescent="0.3">
      <c r="A28" t="s">
        <v>59</v>
      </c>
      <c r="B28">
        <v>6</v>
      </c>
      <c r="C28">
        <v>12</v>
      </c>
      <c r="D28">
        <v>6</v>
      </c>
      <c r="E28">
        <v>0.5</v>
      </c>
    </row>
    <row r="29" spans="1:5" x14ac:dyDescent="0.3">
      <c r="A29" t="s">
        <v>60</v>
      </c>
      <c r="B29">
        <v>5</v>
      </c>
      <c r="C29">
        <v>12</v>
      </c>
      <c r="D29">
        <v>7</v>
      </c>
      <c r="E29">
        <v>0.41666666666666702</v>
      </c>
    </row>
    <row r="30" spans="1:5" x14ac:dyDescent="0.3">
      <c r="A30" t="s">
        <v>61</v>
      </c>
      <c r="B30">
        <v>5</v>
      </c>
      <c r="C30">
        <v>12</v>
      </c>
      <c r="D30">
        <v>7</v>
      </c>
      <c r="E30">
        <v>0.41666666666666702</v>
      </c>
    </row>
    <row r="31" spans="1:5" x14ac:dyDescent="0.3">
      <c r="A31" t="s">
        <v>62</v>
      </c>
      <c r="B31">
        <v>3</v>
      </c>
      <c r="C31">
        <v>12</v>
      </c>
      <c r="D31">
        <v>9</v>
      </c>
      <c r="E31">
        <v>0.25</v>
      </c>
    </row>
    <row r="32" spans="1:5" x14ac:dyDescent="0.3">
      <c r="A32" t="s">
        <v>63</v>
      </c>
      <c r="B32">
        <v>4</v>
      </c>
      <c r="C32">
        <v>12</v>
      </c>
      <c r="D32">
        <v>8</v>
      </c>
      <c r="E32">
        <v>0.33333333333333298</v>
      </c>
    </row>
    <row r="33" spans="1:5" x14ac:dyDescent="0.3">
      <c r="A33" t="s">
        <v>64</v>
      </c>
      <c r="B33">
        <v>4</v>
      </c>
      <c r="C33">
        <v>12</v>
      </c>
      <c r="D33">
        <v>8</v>
      </c>
      <c r="E33">
        <v>0.33333333333333298</v>
      </c>
    </row>
    <row r="34" spans="1:5" x14ac:dyDescent="0.3">
      <c r="A34" t="s">
        <v>65</v>
      </c>
      <c r="B34">
        <v>4</v>
      </c>
      <c r="C34">
        <v>12</v>
      </c>
      <c r="D34">
        <v>8</v>
      </c>
      <c r="E34">
        <v>0.33333333333333298</v>
      </c>
    </row>
    <row r="35" spans="1:5" x14ac:dyDescent="0.3">
      <c r="A35" t="s">
        <v>66</v>
      </c>
      <c r="B35">
        <v>4</v>
      </c>
      <c r="C35">
        <v>12</v>
      </c>
      <c r="D35">
        <v>8</v>
      </c>
      <c r="E35">
        <v>0.33333333333333298</v>
      </c>
    </row>
    <row r="36" spans="1:5" x14ac:dyDescent="0.3">
      <c r="A36" t="s">
        <v>67</v>
      </c>
      <c r="B36">
        <v>4</v>
      </c>
      <c r="C36">
        <v>12</v>
      </c>
      <c r="D36">
        <v>8</v>
      </c>
      <c r="E36">
        <v>0.33333333333333298</v>
      </c>
    </row>
    <row r="37" spans="1:5" x14ac:dyDescent="0.3">
      <c r="A37" t="s">
        <v>68</v>
      </c>
      <c r="B37">
        <v>3</v>
      </c>
      <c r="C37">
        <v>12</v>
      </c>
      <c r="D37">
        <v>9</v>
      </c>
      <c r="E37">
        <v>0.25</v>
      </c>
    </row>
    <row r="38" spans="1:5" x14ac:dyDescent="0.3">
      <c r="A38" t="s">
        <v>81</v>
      </c>
      <c r="B38">
        <v>3</v>
      </c>
      <c r="C38">
        <v>12</v>
      </c>
      <c r="D38">
        <v>9</v>
      </c>
      <c r="E38">
        <v>0.25</v>
      </c>
    </row>
    <row r="39" spans="1:5" x14ac:dyDescent="0.3">
      <c r="A39" t="s">
        <v>82</v>
      </c>
      <c r="B39">
        <v>3</v>
      </c>
      <c r="C39">
        <v>12</v>
      </c>
      <c r="D39">
        <v>9</v>
      </c>
      <c r="E39">
        <v>0.25</v>
      </c>
    </row>
    <row r="40" spans="1:5" x14ac:dyDescent="0.3">
      <c r="A40" t="s">
        <v>83</v>
      </c>
      <c r="B40">
        <v>3</v>
      </c>
      <c r="C40">
        <v>12</v>
      </c>
      <c r="D40">
        <v>9</v>
      </c>
      <c r="E40">
        <v>0.25</v>
      </c>
    </row>
    <row r="41" spans="1:5" x14ac:dyDescent="0.3">
      <c r="A41" t="s">
        <v>84</v>
      </c>
      <c r="B41">
        <v>3</v>
      </c>
      <c r="C41">
        <v>12</v>
      </c>
      <c r="D41">
        <v>9</v>
      </c>
      <c r="E41">
        <v>0.25</v>
      </c>
    </row>
    <row r="42" spans="1:5" x14ac:dyDescent="0.3">
      <c r="A42" t="s">
        <v>85</v>
      </c>
      <c r="B42">
        <v>2</v>
      </c>
      <c r="C42">
        <v>12</v>
      </c>
      <c r="D42">
        <v>10</v>
      </c>
      <c r="E42">
        <v>0.16666666666666699</v>
      </c>
    </row>
    <row r="43" spans="1:5" x14ac:dyDescent="0.3">
      <c r="A43" t="s">
        <v>86</v>
      </c>
      <c r="B43">
        <v>2</v>
      </c>
      <c r="C43">
        <v>12</v>
      </c>
      <c r="D43">
        <v>10</v>
      </c>
      <c r="E43">
        <v>0.16666666666666699</v>
      </c>
    </row>
    <row r="44" spans="1:5" x14ac:dyDescent="0.3">
      <c r="A44" t="s">
        <v>87</v>
      </c>
      <c r="B44">
        <v>1</v>
      </c>
      <c r="C44">
        <v>12</v>
      </c>
      <c r="D44">
        <v>11</v>
      </c>
      <c r="E44">
        <v>8.3333333333333301E-2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2EE0A-3E93-4FF1-919A-03D61F6EC839}">
  <sheetPr codeName="Sheet5"/>
  <dimension ref="A1:D74"/>
  <sheetViews>
    <sheetView topLeftCell="A2" workbookViewId="0">
      <selection activeCell="Q13" sqref="Q13"/>
    </sheetView>
  </sheetViews>
  <sheetFormatPr defaultRowHeight="14.4" x14ac:dyDescent="0.3"/>
  <cols>
    <col min="1" max="1" width="17" customWidth="1"/>
    <col min="2" max="2" width="10.33203125" customWidth="1"/>
    <col min="3" max="3" width="22.88671875" customWidth="1"/>
    <col min="4" max="4" width="16.109375" customWidth="1"/>
  </cols>
  <sheetData>
    <row r="1" spans="1:4" x14ac:dyDescent="0.3">
      <c r="A1" t="s">
        <v>16</v>
      </c>
      <c r="B1" t="s">
        <v>17</v>
      </c>
      <c r="C1" t="s">
        <v>18</v>
      </c>
      <c r="D1" t="s">
        <v>23</v>
      </c>
    </row>
    <row r="2" spans="1:4" x14ac:dyDescent="0.3">
      <c r="A2" t="s">
        <v>41</v>
      </c>
      <c r="B2" t="s">
        <v>42</v>
      </c>
      <c r="C2">
        <v>2820</v>
      </c>
      <c r="D2">
        <v>4</v>
      </c>
    </row>
    <row r="3" spans="1:4" x14ac:dyDescent="0.3">
      <c r="A3" t="s">
        <v>41</v>
      </c>
      <c r="B3" t="s">
        <v>43</v>
      </c>
      <c r="C3">
        <v>8964</v>
      </c>
      <c r="D3">
        <v>2</v>
      </c>
    </row>
    <row r="4" spans="1:4" x14ac:dyDescent="0.3">
      <c r="A4" t="s">
        <v>41</v>
      </c>
      <c r="B4" t="s">
        <v>44</v>
      </c>
      <c r="C4">
        <v>991</v>
      </c>
      <c r="D4">
        <v>1</v>
      </c>
    </row>
    <row r="5" spans="1:4" x14ac:dyDescent="0.3">
      <c r="A5" t="s">
        <v>45</v>
      </c>
      <c r="B5" t="s">
        <v>42</v>
      </c>
      <c r="C5">
        <v>1997</v>
      </c>
      <c r="D5">
        <v>3</v>
      </c>
    </row>
    <row r="6" spans="1:4" x14ac:dyDescent="0.3">
      <c r="A6" t="s">
        <v>45</v>
      </c>
      <c r="B6" t="s">
        <v>43</v>
      </c>
      <c r="C6">
        <v>12784</v>
      </c>
      <c r="D6">
        <v>2</v>
      </c>
    </row>
    <row r="7" spans="1:4" x14ac:dyDescent="0.3">
      <c r="A7" t="s">
        <v>45</v>
      </c>
      <c r="B7" t="s">
        <v>46</v>
      </c>
      <c r="C7">
        <v>505</v>
      </c>
      <c r="D7">
        <v>1</v>
      </c>
    </row>
    <row r="8" spans="1:4" x14ac:dyDescent="0.3">
      <c r="A8" t="s">
        <v>47</v>
      </c>
      <c r="B8" t="s">
        <v>42</v>
      </c>
      <c r="C8">
        <v>1083</v>
      </c>
      <c r="D8">
        <v>1</v>
      </c>
    </row>
    <row r="9" spans="1:4" x14ac:dyDescent="0.3">
      <c r="A9" t="s">
        <v>47</v>
      </c>
      <c r="B9" t="s">
        <v>43</v>
      </c>
      <c r="C9">
        <v>16476</v>
      </c>
      <c r="D9">
        <v>4</v>
      </c>
    </row>
    <row r="10" spans="1:4" x14ac:dyDescent="0.3">
      <c r="A10" t="s">
        <v>47</v>
      </c>
      <c r="B10" t="s">
        <v>44</v>
      </c>
      <c r="C10">
        <v>879</v>
      </c>
      <c r="D10">
        <v>1</v>
      </c>
    </row>
    <row r="11" spans="1:4" x14ac:dyDescent="0.3">
      <c r="A11" t="s">
        <v>47</v>
      </c>
      <c r="B11" t="s">
        <v>46</v>
      </c>
      <c r="C11">
        <v>774</v>
      </c>
      <c r="D11">
        <v>2</v>
      </c>
    </row>
    <row r="12" spans="1:4" x14ac:dyDescent="0.3">
      <c r="A12" t="s">
        <v>48</v>
      </c>
      <c r="B12" t="s">
        <v>43</v>
      </c>
      <c r="C12">
        <v>14834</v>
      </c>
      <c r="D12">
        <v>2</v>
      </c>
    </row>
    <row r="13" spans="1:4" x14ac:dyDescent="0.3">
      <c r="A13" t="s">
        <v>48</v>
      </c>
      <c r="B13" t="s">
        <v>44</v>
      </c>
      <c r="C13">
        <v>4078</v>
      </c>
      <c r="D13">
        <v>2</v>
      </c>
    </row>
    <row r="14" spans="1:4" x14ac:dyDescent="0.3">
      <c r="A14" t="s">
        <v>49</v>
      </c>
      <c r="B14" t="s">
        <v>43</v>
      </c>
      <c r="C14">
        <v>11064</v>
      </c>
      <c r="D14">
        <v>2</v>
      </c>
    </row>
    <row r="15" spans="1:4" x14ac:dyDescent="0.3">
      <c r="A15" t="s">
        <v>49</v>
      </c>
      <c r="B15" t="s">
        <v>44</v>
      </c>
      <c r="C15">
        <v>2694</v>
      </c>
      <c r="D15">
        <v>2</v>
      </c>
    </row>
    <row r="16" spans="1:4" x14ac:dyDescent="0.3">
      <c r="A16" t="s">
        <v>49</v>
      </c>
      <c r="B16" t="s">
        <v>46</v>
      </c>
      <c r="C16">
        <v>1201</v>
      </c>
      <c r="D16">
        <v>2</v>
      </c>
    </row>
    <row r="17" spans="1:4" x14ac:dyDescent="0.3">
      <c r="A17" t="s">
        <v>50</v>
      </c>
      <c r="B17" t="s">
        <v>42</v>
      </c>
      <c r="C17">
        <v>2692</v>
      </c>
      <c r="D17">
        <v>3</v>
      </c>
    </row>
    <row r="18" spans="1:4" x14ac:dyDescent="0.3">
      <c r="A18" t="s">
        <v>50</v>
      </c>
      <c r="B18" t="s">
        <v>44</v>
      </c>
      <c r="C18">
        <v>1930</v>
      </c>
      <c r="D18">
        <v>2</v>
      </c>
    </row>
    <row r="19" spans="1:4" x14ac:dyDescent="0.3">
      <c r="A19" t="s">
        <v>50</v>
      </c>
      <c r="B19" t="s">
        <v>46</v>
      </c>
      <c r="C19">
        <v>394</v>
      </c>
      <c r="D19">
        <v>1</v>
      </c>
    </row>
    <row r="20" spans="1:4" x14ac:dyDescent="0.3">
      <c r="A20" t="s">
        <v>51</v>
      </c>
      <c r="B20" t="s">
        <v>42</v>
      </c>
      <c r="C20">
        <v>2122</v>
      </c>
      <c r="D20">
        <v>3</v>
      </c>
    </row>
    <row r="21" spans="1:4" x14ac:dyDescent="0.3">
      <c r="A21" t="s">
        <v>51</v>
      </c>
      <c r="B21" t="s">
        <v>43</v>
      </c>
      <c r="C21">
        <v>3426</v>
      </c>
      <c r="D21">
        <v>1</v>
      </c>
    </row>
    <row r="22" spans="1:4" x14ac:dyDescent="0.3">
      <c r="A22" t="s">
        <v>51</v>
      </c>
      <c r="B22" t="s">
        <v>44</v>
      </c>
      <c r="C22">
        <v>1438</v>
      </c>
      <c r="D22">
        <v>1</v>
      </c>
    </row>
    <row r="23" spans="1:4" x14ac:dyDescent="0.3">
      <c r="A23" t="s">
        <v>52</v>
      </c>
      <c r="B23" t="s">
        <v>42</v>
      </c>
      <c r="C23">
        <v>1403</v>
      </c>
      <c r="D23">
        <v>2</v>
      </c>
    </row>
    <row r="24" spans="1:4" x14ac:dyDescent="0.3">
      <c r="A24" t="s">
        <v>52</v>
      </c>
      <c r="B24" t="s">
        <v>43</v>
      </c>
      <c r="C24">
        <v>1988</v>
      </c>
      <c r="D24">
        <v>1</v>
      </c>
    </row>
    <row r="25" spans="1:4" x14ac:dyDescent="0.3">
      <c r="A25" t="s">
        <v>52</v>
      </c>
      <c r="B25" t="s">
        <v>44</v>
      </c>
      <c r="C25">
        <v>2183</v>
      </c>
      <c r="D25">
        <v>1</v>
      </c>
    </row>
    <row r="26" spans="1:4" x14ac:dyDescent="0.3">
      <c r="A26" t="s">
        <v>52</v>
      </c>
      <c r="B26" t="s">
        <v>46</v>
      </c>
      <c r="C26">
        <v>501</v>
      </c>
      <c r="D26">
        <v>2</v>
      </c>
    </row>
    <row r="27" spans="1:4" x14ac:dyDescent="0.3">
      <c r="A27" t="s">
        <v>53</v>
      </c>
      <c r="B27" t="s">
        <v>42</v>
      </c>
      <c r="C27">
        <v>1721</v>
      </c>
      <c r="D27">
        <v>2</v>
      </c>
    </row>
    <row r="28" spans="1:4" x14ac:dyDescent="0.3">
      <c r="A28" t="s">
        <v>53</v>
      </c>
      <c r="B28" t="s">
        <v>44</v>
      </c>
      <c r="C28">
        <v>4881</v>
      </c>
      <c r="D28">
        <v>3</v>
      </c>
    </row>
    <row r="29" spans="1:4" x14ac:dyDescent="0.3">
      <c r="A29" t="s">
        <v>53</v>
      </c>
      <c r="B29" t="s">
        <v>46</v>
      </c>
      <c r="C29">
        <v>686</v>
      </c>
      <c r="D29">
        <v>2</v>
      </c>
    </row>
    <row r="30" spans="1:4" x14ac:dyDescent="0.3">
      <c r="A30" t="s">
        <v>54</v>
      </c>
      <c r="B30" t="s">
        <v>42</v>
      </c>
      <c r="C30">
        <v>1654</v>
      </c>
      <c r="D30">
        <v>3</v>
      </c>
    </row>
    <row r="31" spans="1:4" x14ac:dyDescent="0.3">
      <c r="A31" t="s">
        <v>54</v>
      </c>
      <c r="B31" t="s">
        <v>43</v>
      </c>
      <c r="C31">
        <v>10509</v>
      </c>
      <c r="D31">
        <v>2</v>
      </c>
    </row>
    <row r="32" spans="1:4" x14ac:dyDescent="0.3">
      <c r="A32" t="s">
        <v>55</v>
      </c>
      <c r="B32" t="s">
        <v>42</v>
      </c>
      <c r="C32">
        <v>1979</v>
      </c>
      <c r="D32">
        <v>3</v>
      </c>
    </row>
    <row r="33" spans="1:4" x14ac:dyDescent="0.3">
      <c r="A33" t="s">
        <v>55</v>
      </c>
      <c r="B33" t="s">
        <v>43</v>
      </c>
      <c r="C33">
        <v>6434</v>
      </c>
      <c r="D33">
        <v>1</v>
      </c>
    </row>
    <row r="34" spans="1:4" x14ac:dyDescent="0.3">
      <c r="A34" t="s">
        <v>55</v>
      </c>
      <c r="B34" t="s">
        <v>46</v>
      </c>
      <c r="C34">
        <v>1478</v>
      </c>
      <c r="D34">
        <v>3</v>
      </c>
    </row>
    <row r="35" spans="1:4" x14ac:dyDescent="0.3">
      <c r="A35" t="s">
        <v>56</v>
      </c>
      <c r="B35" t="s">
        <v>43</v>
      </c>
      <c r="C35">
        <v>3290</v>
      </c>
      <c r="D35">
        <v>1</v>
      </c>
    </row>
    <row r="36" spans="1:4" x14ac:dyDescent="0.3">
      <c r="A36" t="s">
        <v>56</v>
      </c>
      <c r="B36" t="s">
        <v>44</v>
      </c>
      <c r="C36">
        <v>3336</v>
      </c>
      <c r="D36">
        <v>2</v>
      </c>
    </row>
    <row r="37" spans="1:4" x14ac:dyDescent="0.3">
      <c r="A37" t="s">
        <v>57</v>
      </c>
      <c r="B37" t="s">
        <v>42</v>
      </c>
      <c r="C37">
        <v>261</v>
      </c>
      <c r="D37">
        <v>1</v>
      </c>
    </row>
    <row r="38" spans="1:4" x14ac:dyDescent="0.3">
      <c r="A38" t="s">
        <v>57</v>
      </c>
      <c r="B38" t="s">
        <v>43</v>
      </c>
      <c r="C38">
        <v>5999</v>
      </c>
      <c r="D38">
        <v>2</v>
      </c>
    </row>
    <row r="39" spans="1:4" x14ac:dyDescent="0.3">
      <c r="A39" t="s">
        <v>57</v>
      </c>
      <c r="B39" t="s">
        <v>44</v>
      </c>
      <c r="C39">
        <v>2870</v>
      </c>
      <c r="D39">
        <v>2</v>
      </c>
    </row>
    <row r="40" spans="1:4" x14ac:dyDescent="0.3">
      <c r="A40" t="s">
        <v>57</v>
      </c>
      <c r="B40" t="s">
        <v>46</v>
      </c>
      <c r="C40">
        <v>638</v>
      </c>
      <c r="D40">
        <v>1</v>
      </c>
    </row>
    <row r="41" spans="1:4" x14ac:dyDescent="0.3">
      <c r="A41" t="s">
        <v>58</v>
      </c>
      <c r="B41" t="s">
        <v>42</v>
      </c>
      <c r="C41">
        <v>1427</v>
      </c>
      <c r="D41">
        <v>2</v>
      </c>
    </row>
    <row r="42" spans="1:4" x14ac:dyDescent="0.3">
      <c r="A42" t="s">
        <v>58</v>
      </c>
      <c r="B42" t="s">
        <v>43</v>
      </c>
      <c r="C42">
        <v>26725</v>
      </c>
      <c r="D42">
        <v>4</v>
      </c>
    </row>
    <row r="43" spans="1:4" x14ac:dyDescent="0.3">
      <c r="A43" t="s">
        <v>58</v>
      </c>
      <c r="B43" t="s">
        <v>44</v>
      </c>
      <c r="C43">
        <v>6444</v>
      </c>
      <c r="D43">
        <v>4</v>
      </c>
    </row>
    <row r="44" spans="1:4" x14ac:dyDescent="0.3">
      <c r="A44" t="s">
        <v>58</v>
      </c>
      <c r="B44" t="s">
        <v>46</v>
      </c>
      <c r="C44">
        <v>653</v>
      </c>
      <c r="D44">
        <v>1</v>
      </c>
    </row>
    <row r="45" spans="1:4" x14ac:dyDescent="0.3">
      <c r="A45" t="s">
        <v>59</v>
      </c>
      <c r="B45" t="s">
        <v>42</v>
      </c>
      <c r="C45">
        <v>2347</v>
      </c>
      <c r="D45">
        <v>3</v>
      </c>
    </row>
    <row r="46" spans="1:4" x14ac:dyDescent="0.3">
      <c r="A46" t="s">
        <v>59</v>
      </c>
      <c r="B46" t="s">
        <v>43</v>
      </c>
      <c r="C46">
        <v>19794</v>
      </c>
      <c r="D46">
        <v>3</v>
      </c>
    </row>
    <row r="47" spans="1:4" x14ac:dyDescent="0.3">
      <c r="A47" t="s">
        <v>59</v>
      </c>
      <c r="B47" t="s">
        <v>44</v>
      </c>
      <c r="C47">
        <v>2702</v>
      </c>
      <c r="D47">
        <v>2</v>
      </c>
    </row>
    <row r="48" spans="1:4" x14ac:dyDescent="0.3">
      <c r="A48" t="s">
        <v>59</v>
      </c>
      <c r="B48" t="s">
        <v>46</v>
      </c>
      <c r="C48">
        <v>836</v>
      </c>
      <c r="D48">
        <v>2</v>
      </c>
    </row>
    <row r="49" spans="1:4" x14ac:dyDescent="0.3">
      <c r="A49" t="s">
        <v>60</v>
      </c>
      <c r="B49" t="s">
        <v>42</v>
      </c>
      <c r="C49">
        <v>2748</v>
      </c>
      <c r="D49">
        <v>4</v>
      </c>
    </row>
    <row r="50" spans="1:4" x14ac:dyDescent="0.3">
      <c r="A50" t="s">
        <v>60</v>
      </c>
      <c r="B50" t="s">
        <v>43</v>
      </c>
      <c r="C50">
        <v>7625</v>
      </c>
      <c r="D50">
        <v>2</v>
      </c>
    </row>
    <row r="51" spans="1:4" x14ac:dyDescent="0.3">
      <c r="A51" t="s">
        <v>60</v>
      </c>
      <c r="B51" t="s">
        <v>44</v>
      </c>
      <c r="C51">
        <v>895</v>
      </c>
      <c r="D51">
        <v>1</v>
      </c>
    </row>
    <row r="52" spans="1:4" x14ac:dyDescent="0.3">
      <c r="A52" t="s">
        <v>61</v>
      </c>
      <c r="B52" t="s">
        <v>43</v>
      </c>
      <c r="C52">
        <v>26022</v>
      </c>
      <c r="D52">
        <v>5</v>
      </c>
    </row>
    <row r="53" spans="1:4" x14ac:dyDescent="0.3">
      <c r="A53" t="s">
        <v>61</v>
      </c>
      <c r="B53" t="s">
        <v>46</v>
      </c>
      <c r="C53">
        <v>224</v>
      </c>
      <c r="D53">
        <v>1</v>
      </c>
    </row>
    <row r="54" spans="1:4" x14ac:dyDescent="0.3">
      <c r="A54" t="s">
        <v>62</v>
      </c>
      <c r="B54" t="s">
        <v>42</v>
      </c>
      <c r="C54">
        <v>824</v>
      </c>
      <c r="D54">
        <v>1</v>
      </c>
    </row>
    <row r="55" spans="1:4" x14ac:dyDescent="0.3">
      <c r="A55" t="s">
        <v>62</v>
      </c>
      <c r="B55" t="s">
        <v>44</v>
      </c>
      <c r="C55">
        <v>3627</v>
      </c>
      <c r="D55">
        <v>3</v>
      </c>
    </row>
    <row r="56" spans="1:4" x14ac:dyDescent="0.3">
      <c r="A56" t="s">
        <v>62</v>
      </c>
      <c r="B56" t="s">
        <v>46</v>
      </c>
      <c r="C56">
        <v>772</v>
      </c>
      <c r="D56">
        <v>2</v>
      </c>
    </row>
    <row r="57" spans="1:4" x14ac:dyDescent="0.3">
      <c r="A57" t="s">
        <v>63</v>
      </c>
      <c r="B57" t="s">
        <v>42</v>
      </c>
      <c r="C57">
        <v>2971</v>
      </c>
      <c r="D57">
        <v>5</v>
      </c>
    </row>
    <row r="58" spans="1:4" x14ac:dyDescent="0.3">
      <c r="A58" t="s">
        <v>63</v>
      </c>
      <c r="B58" t="s">
        <v>43</v>
      </c>
      <c r="C58">
        <v>5045</v>
      </c>
      <c r="D58">
        <v>1</v>
      </c>
    </row>
    <row r="59" spans="1:4" x14ac:dyDescent="0.3">
      <c r="A59" t="s">
        <v>63</v>
      </c>
      <c r="B59" t="s">
        <v>44</v>
      </c>
      <c r="C59">
        <v>2207</v>
      </c>
      <c r="D59">
        <v>3</v>
      </c>
    </row>
    <row r="60" spans="1:4" x14ac:dyDescent="0.3">
      <c r="A60" t="s">
        <v>63</v>
      </c>
      <c r="B60" t="s">
        <v>46</v>
      </c>
      <c r="C60">
        <v>863</v>
      </c>
      <c r="D60">
        <v>3</v>
      </c>
    </row>
    <row r="61" spans="1:4" x14ac:dyDescent="0.3">
      <c r="A61" t="s">
        <v>64</v>
      </c>
      <c r="B61" t="s">
        <v>42</v>
      </c>
      <c r="C61">
        <v>998</v>
      </c>
      <c r="D61">
        <v>1</v>
      </c>
    </row>
    <row r="62" spans="1:4" x14ac:dyDescent="0.3">
      <c r="A62" t="s">
        <v>64</v>
      </c>
      <c r="B62" t="s">
        <v>43</v>
      </c>
      <c r="C62">
        <v>28532</v>
      </c>
      <c r="D62">
        <v>4</v>
      </c>
    </row>
    <row r="63" spans="1:4" x14ac:dyDescent="0.3">
      <c r="A63" t="s">
        <v>64</v>
      </c>
      <c r="B63" t="s">
        <v>44</v>
      </c>
      <c r="C63">
        <v>1432</v>
      </c>
      <c r="D63">
        <v>1</v>
      </c>
    </row>
    <row r="64" spans="1:4" x14ac:dyDescent="0.3">
      <c r="A64" t="s">
        <v>64</v>
      </c>
      <c r="B64" t="s">
        <v>46</v>
      </c>
      <c r="C64">
        <v>1179</v>
      </c>
      <c r="D64">
        <v>3</v>
      </c>
    </row>
    <row r="65" spans="1:4" x14ac:dyDescent="0.3">
      <c r="A65" t="s">
        <v>65</v>
      </c>
      <c r="B65" t="s">
        <v>42</v>
      </c>
      <c r="C65">
        <v>201</v>
      </c>
      <c r="D65">
        <v>1</v>
      </c>
    </row>
    <row r="66" spans="1:4" x14ac:dyDescent="0.3">
      <c r="A66" t="s">
        <v>65</v>
      </c>
      <c r="B66" t="s">
        <v>43</v>
      </c>
      <c r="C66">
        <v>17868</v>
      </c>
      <c r="D66">
        <v>4</v>
      </c>
    </row>
    <row r="67" spans="1:4" x14ac:dyDescent="0.3">
      <c r="A67" t="s">
        <v>66</v>
      </c>
      <c r="B67" t="s">
        <v>42</v>
      </c>
      <c r="C67">
        <v>518</v>
      </c>
      <c r="D67">
        <v>1</v>
      </c>
    </row>
    <row r="68" spans="1:4" x14ac:dyDescent="0.3">
      <c r="A68" t="s">
        <v>66</v>
      </c>
      <c r="B68" t="s">
        <v>43</v>
      </c>
      <c r="C68">
        <v>6735</v>
      </c>
      <c r="D68">
        <v>2</v>
      </c>
    </row>
    <row r="69" spans="1:4" x14ac:dyDescent="0.3">
      <c r="A69" t="s">
        <v>66</v>
      </c>
      <c r="B69" t="s">
        <v>46</v>
      </c>
      <c r="C69">
        <v>1548</v>
      </c>
      <c r="D69">
        <v>4</v>
      </c>
    </row>
    <row r="70" spans="1:4" x14ac:dyDescent="0.3">
      <c r="A70" t="s">
        <v>67</v>
      </c>
      <c r="B70" t="s">
        <v>44</v>
      </c>
      <c r="C70">
        <v>4131</v>
      </c>
      <c r="D70">
        <v>3</v>
      </c>
    </row>
    <row r="71" spans="1:4" x14ac:dyDescent="0.3">
      <c r="A71" t="s">
        <v>67</v>
      </c>
      <c r="B71" t="s">
        <v>46</v>
      </c>
      <c r="C71">
        <v>467</v>
      </c>
      <c r="D71">
        <v>1</v>
      </c>
    </row>
    <row r="72" spans="1:4" x14ac:dyDescent="0.3">
      <c r="A72" t="s">
        <v>68</v>
      </c>
      <c r="B72" t="s">
        <v>42</v>
      </c>
      <c r="C72">
        <v>1593</v>
      </c>
      <c r="D72">
        <v>2</v>
      </c>
    </row>
    <row r="73" spans="1:4" x14ac:dyDescent="0.3">
      <c r="A73" t="s">
        <v>68</v>
      </c>
      <c r="B73" t="s">
        <v>43</v>
      </c>
      <c r="C73">
        <v>10767</v>
      </c>
      <c r="D73">
        <v>2</v>
      </c>
    </row>
    <row r="74" spans="1:4" x14ac:dyDescent="0.3">
      <c r="A74" t="s">
        <v>68</v>
      </c>
      <c r="B74" t="s">
        <v>44</v>
      </c>
      <c r="C74">
        <v>2906</v>
      </c>
      <c r="D74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activeCell="F12" sqref="F12"/>
    </sheetView>
  </sheetViews>
  <sheetFormatPr defaultRowHeight="14.4" x14ac:dyDescent="0.3"/>
  <sheetData>
    <row r="1" spans="1:1" x14ac:dyDescent="0.3">
      <c r="A1" s="1" t="s">
        <v>22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0CB87-B07E-47DD-9D04-52AB8A0115B0}">
  <sheetPr codeName="Sheet8"/>
  <dimension ref="A1:E28"/>
  <sheetViews>
    <sheetView workbookViewId="0"/>
  </sheetViews>
  <sheetFormatPr defaultRowHeight="14.4" x14ac:dyDescent="0.3"/>
  <cols>
    <col min="1" max="1" width="11" bestFit="1" customWidth="1"/>
    <col min="2" max="2" width="20.21875" bestFit="1" customWidth="1"/>
    <col min="3" max="3" width="20.5546875" bestFit="1" customWidth="1"/>
    <col min="4" max="5" width="26" bestFit="1" customWidth="1"/>
  </cols>
  <sheetData>
    <row r="1" spans="1:5" ht="18" x14ac:dyDescent="0.35">
      <c r="A1" s="9" t="s">
        <v>95</v>
      </c>
    </row>
    <row r="3" spans="1:5" x14ac:dyDescent="0.3">
      <c r="A3" s="8" t="s">
        <v>13</v>
      </c>
      <c r="B3" t="s">
        <v>90</v>
      </c>
      <c r="C3" t="s">
        <v>91</v>
      </c>
      <c r="D3" t="s">
        <v>92</v>
      </c>
      <c r="E3" t="s">
        <v>93</v>
      </c>
    </row>
    <row r="4" spans="1:5" x14ac:dyDescent="0.3">
      <c r="A4" s="2">
        <v>45292</v>
      </c>
      <c r="B4">
        <v>14594</v>
      </c>
      <c r="C4">
        <v>12974</v>
      </c>
      <c r="D4">
        <v>1620</v>
      </c>
      <c r="E4">
        <v>0.88899547759353204</v>
      </c>
    </row>
    <row r="5" spans="1:5" x14ac:dyDescent="0.3">
      <c r="A5" s="2">
        <v>45323</v>
      </c>
      <c r="B5">
        <v>12685</v>
      </c>
      <c r="C5">
        <v>10837</v>
      </c>
      <c r="D5">
        <v>1848</v>
      </c>
      <c r="E5">
        <v>0.85431612140323199</v>
      </c>
    </row>
    <row r="6" spans="1:5" x14ac:dyDescent="0.3">
      <c r="A6" s="2">
        <v>45352</v>
      </c>
      <c r="B6">
        <v>15670</v>
      </c>
      <c r="C6">
        <v>15557</v>
      </c>
      <c r="D6">
        <v>113</v>
      </c>
      <c r="E6">
        <v>0.99278876834716001</v>
      </c>
    </row>
    <row r="7" spans="1:5" x14ac:dyDescent="0.3">
      <c r="A7" s="2">
        <v>45383</v>
      </c>
      <c r="B7">
        <v>17320</v>
      </c>
      <c r="C7">
        <v>13081</v>
      </c>
      <c r="D7">
        <v>4239</v>
      </c>
      <c r="E7">
        <v>0.75525404157043896</v>
      </c>
    </row>
    <row r="8" spans="1:5" x14ac:dyDescent="0.3">
      <c r="A8" s="2">
        <v>45413</v>
      </c>
      <c r="B8">
        <v>17320</v>
      </c>
      <c r="C8">
        <v>17252</v>
      </c>
      <c r="D8">
        <v>68</v>
      </c>
      <c r="E8">
        <v>0.99607390300230902</v>
      </c>
    </row>
    <row r="9" spans="1:5" x14ac:dyDescent="0.3">
      <c r="A9" s="2">
        <v>45444</v>
      </c>
      <c r="B9">
        <v>17407</v>
      </c>
      <c r="C9">
        <v>17407</v>
      </c>
      <c r="D9">
        <v>0</v>
      </c>
      <c r="E9">
        <v>1</v>
      </c>
    </row>
    <row r="10" spans="1:5" x14ac:dyDescent="0.3">
      <c r="A10" s="2">
        <v>45474</v>
      </c>
      <c r="B10">
        <v>17407</v>
      </c>
      <c r="C10">
        <v>15683</v>
      </c>
      <c r="D10">
        <v>1724</v>
      </c>
      <c r="E10">
        <v>0.90095938415579901</v>
      </c>
    </row>
    <row r="11" spans="1:5" x14ac:dyDescent="0.3">
      <c r="A11" s="2">
        <v>45505</v>
      </c>
      <c r="B11">
        <v>15787</v>
      </c>
      <c r="C11">
        <v>8778</v>
      </c>
      <c r="D11">
        <v>7009</v>
      </c>
      <c r="E11">
        <v>0.556027110914043</v>
      </c>
    </row>
    <row r="12" spans="1:5" x14ac:dyDescent="0.3">
      <c r="A12" s="2">
        <v>45536</v>
      </c>
      <c r="B12">
        <v>13810</v>
      </c>
      <c r="C12">
        <v>13556</v>
      </c>
      <c r="D12">
        <v>254</v>
      </c>
      <c r="E12">
        <v>0.98160753077480101</v>
      </c>
    </row>
    <row r="13" spans="1:5" x14ac:dyDescent="0.3">
      <c r="A13" s="2">
        <v>45566</v>
      </c>
      <c r="B13">
        <v>13810</v>
      </c>
      <c r="C13">
        <v>13810</v>
      </c>
      <c r="D13">
        <v>0</v>
      </c>
      <c r="E13">
        <v>1</v>
      </c>
    </row>
    <row r="14" spans="1:5" x14ac:dyDescent="0.3">
      <c r="A14" s="2">
        <v>45597</v>
      </c>
      <c r="B14">
        <v>16866</v>
      </c>
      <c r="C14">
        <v>14575</v>
      </c>
      <c r="D14">
        <v>2291</v>
      </c>
      <c r="E14">
        <v>0.86416459148582903</v>
      </c>
    </row>
    <row r="15" spans="1:5" x14ac:dyDescent="0.3">
      <c r="A15" s="2">
        <v>45627</v>
      </c>
      <c r="B15">
        <v>13676</v>
      </c>
      <c r="C15">
        <v>10624</v>
      </c>
      <c r="D15">
        <v>3052</v>
      </c>
      <c r="E15">
        <v>0.77683533196841204</v>
      </c>
    </row>
    <row r="16" spans="1:5" x14ac:dyDescent="0.3">
      <c r="A16" s="2">
        <v>45658</v>
      </c>
      <c r="B16">
        <v>13676</v>
      </c>
      <c r="C16">
        <v>13676</v>
      </c>
      <c r="D16">
        <v>0</v>
      </c>
      <c r="E16">
        <v>1</v>
      </c>
    </row>
    <row r="17" spans="1:5" x14ac:dyDescent="0.3">
      <c r="A17" s="2">
        <v>45689</v>
      </c>
      <c r="B17">
        <v>13676</v>
      </c>
      <c r="C17">
        <v>13461</v>
      </c>
      <c r="D17">
        <v>215</v>
      </c>
      <c r="E17">
        <v>0.98427902895583497</v>
      </c>
    </row>
    <row r="18" spans="1:5" x14ac:dyDescent="0.3">
      <c r="A18" s="2">
        <v>45717</v>
      </c>
      <c r="B18">
        <v>13676</v>
      </c>
      <c r="C18">
        <v>13676</v>
      </c>
      <c r="D18">
        <v>0</v>
      </c>
      <c r="E18">
        <v>1</v>
      </c>
    </row>
    <row r="19" spans="1:5" x14ac:dyDescent="0.3">
      <c r="A19" s="2">
        <v>45748</v>
      </c>
      <c r="B19">
        <v>10691</v>
      </c>
      <c r="C19">
        <v>10691</v>
      </c>
      <c r="D19">
        <v>0</v>
      </c>
      <c r="E19">
        <v>1</v>
      </c>
    </row>
    <row r="20" spans="1:5" x14ac:dyDescent="0.3">
      <c r="A20" s="2">
        <v>45778</v>
      </c>
      <c r="B20">
        <v>10691</v>
      </c>
      <c r="C20">
        <v>10334</v>
      </c>
      <c r="D20">
        <v>357</v>
      </c>
      <c r="E20">
        <v>0.96660742680759504</v>
      </c>
    </row>
    <row r="21" spans="1:5" x14ac:dyDescent="0.3">
      <c r="A21" s="2">
        <v>45809</v>
      </c>
      <c r="B21">
        <v>7071</v>
      </c>
      <c r="C21">
        <v>7071</v>
      </c>
      <c r="D21">
        <v>0</v>
      </c>
      <c r="E21">
        <v>1</v>
      </c>
    </row>
    <row r="22" spans="1:5" x14ac:dyDescent="0.3">
      <c r="A22" s="2">
        <v>45839</v>
      </c>
      <c r="B22">
        <v>8997</v>
      </c>
      <c r="C22">
        <v>8997</v>
      </c>
      <c r="D22">
        <v>0</v>
      </c>
      <c r="E22">
        <v>1</v>
      </c>
    </row>
    <row r="23" spans="1:5" x14ac:dyDescent="0.3">
      <c r="A23" s="2">
        <v>45870</v>
      </c>
      <c r="B23">
        <v>8997</v>
      </c>
      <c r="C23">
        <v>8997</v>
      </c>
      <c r="D23">
        <v>0</v>
      </c>
      <c r="E23">
        <v>1</v>
      </c>
    </row>
    <row r="24" spans="1:5" x14ac:dyDescent="0.3">
      <c r="A24" s="2">
        <v>45901</v>
      </c>
      <c r="B24">
        <v>8997</v>
      </c>
      <c r="C24">
        <v>5941</v>
      </c>
      <c r="D24">
        <v>3056</v>
      </c>
      <c r="E24">
        <v>0.66033122151828405</v>
      </c>
    </row>
    <row r="25" spans="1:5" x14ac:dyDescent="0.3">
      <c r="A25" s="2">
        <v>45931</v>
      </c>
      <c r="B25">
        <v>8997</v>
      </c>
      <c r="C25">
        <v>8997</v>
      </c>
      <c r="D25">
        <v>0</v>
      </c>
      <c r="E25">
        <v>1</v>
      </c>
    </row>
    <row r="26" spans="1:5" x14ac:dyDescent="0.3">
      <c r="A26" s="2">
        <v>45962</v>
      </c>
      <c r="B26">
        <v>8997</v>
      </c>
      <c r="C26">
        <v>8997</v>
      </c>
      <c r="D26">
        <v>0</v>
      </c>
      <c r="E26">
        <v>1</v>
      </c>
    </row>
    <row r="27" spans="1:5" x14ac:dyDescent="0.3">
      <c r="A27" s="2">
        <v>45992</v>
      </c>
      <c r="B27">
        <v>5941</v>
      </c>
      <c r="C27">
        <v>5941</v>
      </c>
      <c r="D27">
        <v>0</v>
      </c>
      <c r="E27">
        <v>1</v>
      </c>
    </row>
    <row r="28" spans="1:5" x14ac:dyDescent="0.3">
      <c r="A28" s="2" t="s">
        <v>94</v>
      </c>
      <c r="B28">
        <v>306759</v>
      </c>
      <c r="C28">
        <v>280913</v>
      </c>
      <c r="D28">
        <v>25846</v>
      </c>
      <c r="E28">
        <v>0.92409333077071965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21A1C-FAE4-4EF0-A91F-9DCF6F4765EB}">
  <sheetPr codeName="Sheet9"/>
  <dimension ref="A1:E47"/>
  <sheetViews>
    <sheetView workbookViewId="0">
      <selection sqref="A1:XFD1048576"/>
    </sheetView>
  </sheetViews>
  <sheetFormatPr defaultRowHeight="14.4" x14ac:dyDescent="0.3"/>
  <cols>
    <col min="1" max="1" width="11" bestFit="1" customWidth="1"/>
    <col min="2" max="2" width="20.77734375" bestFit="1" customWidth="1"/>
    <col min="3" max="3" width="18.44140625" bestFit="1" customWidth="1"/>
    <col min="4" max="4" width="16.88671875" bestFit="1" customWidth="1"/>
    <col min="5" max="5" width="18.44140625" bestFit="1" customWidth="1"/>
    <col min="9" max="9" width="10.77734375" bestFit="1" customWidth="1"/>
    <col min="10" max="10" width="20.33203125" bestFit="1" customWidth="1"/>
    <col min="11" max="11" width="18.33203125" bestFit="1" customWidth="1"/>
    <col min="12" max="12" width="16.5546875" bestFit="1" customWidth="1"/>
    <col min="13" max="13" width="18.44140625" bestFit="1" customWidth="1"/>
  </cols>
  <sheetData>
    <row r="1" spans="1:5" ht="18" x14ac:dyDescent="0.35">
      <c r="A1" s="9" t="s">
        <v>100</v>
      </c>
    </row>
    <row r="3" spans="1:5" x14ac:dyDescent="0.3">
      <c r="A3" s="8" t="s">
        <v>13</v>
      </c>
      <c r="B3" t="s">
        <v>96</v>
      </c>
      <c r="C3" t="s">
        <v>97</v>
      </c>
      <c r="D3" t="s">
        <v>98</v>
      </c>
      <c r="E3" t="s">
        <v>99</v>
      </c>
    </row>
    <row r="4" spans="1:5" x14ac:dyDescent="0.3">
      <c r="A4" t="s">
        <v>69</v>
      </c>
      <c r="B4">
        <v>1</v>
      </c>
      <c r="C4">
        <v>11</v>
      </c>
      <c r="D4">
        <v>12</v>
      </c>
      <c r="E4">
        <v>8.3333333333333301E-2</v>
      </c>
    </row>
    <row r="5" spans="1:5" x14ac:dyDescent="0.3">
      <c r="A5" t="s">
        <v>70</v>
      </c>
      <c r="B5">
        <v>1</v>
      </c>
      <c r="C5">
        <v>11</v>
      </c>
      <c r="D5">
        <v>12</v>
      </c>
      <c r="E5">
        <v>8.3333333333333301E-2</v>
      </c>
    </row>
    <row r="6" spans="1:5" x14ac:dyDescent="0.3">
      <c r="A6" t="s">
        <v>71</v>
      </c>
      <c r="B6">
        <v>1</v>
      </c>
      <c r="C6">
        <v>11</v>
      </c>
      <c r="D6">
        <v>12</v>
      </c>
      <c r="E6">
        <v>8.3333333333333301E-2</v>
      </c>
    </row>
    <row r="7" spans="1:5" x14ac:dyDescent="0.3">
      <c r="A7" t="s">
        <v>72</v>
      </c>
      <c r="B7">
        <v>1</v>
      </c>
      <c r="C7">
        <v>11</v>
      </c>
      <c r="D7">
        <v>12</v>
      </c>
      <c r="E7">
        <v>8.3333333333333301E-2</v>
      </c>
    </row>
    <row r="8" spans="1:5" x14ac:dyDescent="0.3">
      <c r="A8" t="s">
        <v>73</v>
      </c>
      <c r="B8">
        <v>3</v>
      </c>
      <c r="C8">
        <v>9</v>
      </c>
      <c r="D8">
        <v>12</v>
      </c>
      <c r="E8">
        <v>0.25</v>
      </c>
    </row>
    <row r="9" spans="1:5" x14ac:dyDescent="0.3">
      <c r="A9" t="s">
        <v>74</v>
      </c>
      <c r="B9">
        <v>3</v>
      </c>
      <c r="C9">
        <v>9</v>
      </c>
      <c r="D9">
        <v>12</v>
      </c>
      <c r="E9">
        <v>0.25</v>
      </c>
    </row>
    <row r="10" spans="1:5" x14ac:dyDescent="0.3">
      <c r="A10" t="s">
        <v>75</v>
      </c>
      <c r="B10">
        <v>4</v>
      </c>
      <c r="C10">
        <v>8</v>
      </c>
      <c r="D10">
        <v>12</v>
      </c>
      <c r="E10">
        <v>0.33333333333333298</v>
      </c>
    </row>
    <row r="11" spans="1:5" x14ac:dyDescent="0.3">
      <c r="A11" t="s">
        <v>76</v>
      </c>
      <c r="B11">
        <v>5</v>
      </c>
      <c r="C11">
        <v>7</v>
      </c>
      <c r="D11">
        <v>12</v>
      </c>
      <c r="E11">
        <v>0.41666666666666702</v>
      </c>
    </row>
    <row r="12" spans="1:5" x14ac:dyDescent="0.3">
      <c r="A12" t="s">
        <v>77</v>
      </c>
      <c r="B12">
        <v>5</v>
      </c>
      <c r="C12">
        <v>7</v>
      </c>
      <c r="D12">
        <v>12</v>
      </c>
      <c r="E12">
        <v>0.41666666666666702</v>
      </c>
    </row>
    <row r="13" spans="1:5" x14ac:dyDescent="0.3">
      <c r="A13" t="s">
        <v>78</v>
      </c>
      <c r="B13">
        <v>5</v>
      </c>
      <c r="C13">
        <v>7</v>
      </c>
      <c r="D13">
        <v>12</v>
      </c>
      <c r="E13">
        <v>0.41666666666666702</v>
      </c>
    </row>
    <row r="14" spans="1:5" x14ac:dyDescent="0.3">
      <c r="A14" t="s">
        <v>79</v>
      </c>
      <c r="B14">
        <v>6</v>
      </c>
      <c r="C14">
        <v>6</v>
      </c>
      <c r="D14">
        <v>12</v>
      </c>
      <c r="E14">
        <v>0.5</v>
      </c>
    </row>
    <row r="15" spans="1:5" x14ac:dyDescent="0.3">
      <c r="A15" t="s">
        <v>80</v>
      </c>
      <c r="B15">
        <v>7</v>
      </c>
      <c r="C15">
        <v>5</v>
      </c>
      <c r="D15">
        <v>12</v>
      </c>
      <c r="E15">
        <v>0.58333333333333304</v>
      </c>
    </row>
    <row r="16" spans="1:5" x14ac:dyDescent="0.3">
      <c r="A16" t="s">
        <v>41</v>
      </c>
      <c r="B16">
        <v>7</v>
      </c>
      <c r="C16">
        <v>5</v>
      </c>
      <c r="D16">
        <v>12</v>
      </c>
      <c r="E16">
        <v>0.58333333333333304</v>
      </c>
    </row>
    <row r="17" spans="1:5" x14ac:dyDescent="0.3">
      <c r="A17" t="s">
        <v>45</v>
      </c>
      <c r="B17">
        <v>6</v>
      </c>
      <c r="C17">
        <v>6</v>
      </c>
      <c r="D17">
        <v>12</v>
      </c>
      <c r="E17">
        <v>0.5</v>
      </c>
    </row>
    <row r="18" spans="1:5" x14ac:dyDescent="0.3">
      <c r="A18" t="s">
        <v>47</v>
      </c>
      <c r="B18">
        <v>7</v>
      </c>
      <c r="C18">
        <v>5</v>
      </c>
      <c r="D18">
        <v>12</v>
      </c>
      <c r="E18">
        <v>0.58333333333333304</v>
      </c>
    </row>
    <row r="19" spans="1:5" x14ac:dyDescent="0.3">
      <c r="A19" t="s">
        <v>48</v>
      </c>
      <c r="B19">
        <v>8</v>
      </c>
      <c r="C19">
        <v>4</v>
      </c>
      <c r="D19">
        <v>12</v>
      </c>
      <c r="E19">
        <v>0.66666666666666696</v>
      </c>
    </row>
    <row r="20" spans="1:5" x14ac:dyDescent="0.3">
      <c r="A20" t="s">
        <v>49</v>
      </c>
      <c r="B20">
        <v>8</v>
      </c>
      <c r="C20">
        <v>4</v>
      </c>
      <c r="D20">
        <v>12</v>
      </c>
      <c r="E20">
        <v>0.66666666666666696</v>
      </c>
    </row>
    <row r="21" spans="1:5" x14ac:dyDescent="0.3">
      <c r="A21" t="s">
        <v>50</v>
      </c>
      <c r="B21">
        <v>8</v>
      </c>
      <c r="C21">
        <v>4</v>
      </c>
      <c r="D21">
        <v>12</v>
      </c>
      <c r="E21">
        <v>0.66666666666666696</v>
      </c>
    </row>
    <row r="22" spans="1:5" x14ac:dyDescent="0.3">
      <c r="A22" t="s">
        <v>51</v>
      </c>
      <c r="B22">
        <v>8</v>
      </c>
      <c r="C22">
        <v>4</v>
      </c>
      <c r="D22">
        <v>12</v>
      </c>
      <c r="E22">
        <v>0.66666666666666696</v>
      </c>
    </row>
    <row r="23" spans="1:5" x14ac:dyDescent="0.3">
      <c r="A23" t="s">
        <v>52</v>
      </c>
      <c r="B23">
        <v>7</v>
      </c>
      <c r="C23">
        <v>5</v>
      </c>
      <c r="D23">
        <v>12</v>
      </c>
      <c r="E23">
        <v>0.58333333333333304</v>
      </c>
    </row>
    <row r="24" spans="1:5" x14ac:dyDescent="0.3">
      <c r="A24" t="s">
        <v>53</v>
      </c>
      <c r="B24">
        <v>6</v>
      </c>
      <c r="C24">
        <v>6</v>
      </c>
      <c r="D24">
        <v>12</v>
      </c>
      <c r="E24">
        <v>0.5</v>
      </c>
    </row>
    <row r="25" spans="1:5" x14ac:dyDescent="0.3">
      <c r="A25" t="s">
        <v>54</v>
      </c>
      <c r="B25">
        <v>6</v>
      </c>
      <c r="C25">
        <v>6</v>
      </c>
      <c r="D25">
        <v>12</v>
      </c>
      <c r="E25">
        <v>0.5</v>
      </c>
    </row>
    <row r="26" spans="1:5" x14ac:dyDescent="0.3">
      <c r="A26" t="s">
        <v>55</v>
      </c>
      <c r="B26">
        <v>7</v>
      </c>
      <c r="C26">
        <v>5</v>
      </c>
      <c r="D26">
        <v>12</v>
      </c>
      <c r="E26">
        <v>0.58333333333333304</v>
      </c>
    </row>
    <row r="27" spans="1:5" x14ac:dyDescent="0.3">
      <c r="A27" t="s">
        <v>56</v>
      </c>
      <c r="B27">
        <v>6</v>
      </c>
      <c r="C27">
        <v>6</v>
      </c>
      <c r="D27">
        <v>12</v>
      </c>
      <c r="E27">
        <v>0.5</v>
      </c>
    </row>
    <row r="28" spans="1:5" x14ac:dyDescent="0.3">
      <c r="A28" t="s">
        <v>57</v>
      </c>
      <c r="B28">
        <v>6</v>
      </c>
      <c r="C28">
        <v>6</v>
      </c>
      <c r="D28">
        <v>12</v>
      </c>
      <c r="E28">
        <v>0.5</v>
      </c>
    </row>
    <row r="29" spans="1:5" x14ac:dyDescent="0.3">
      <c r="A29" t="s">
        <v>58</v>
      </c>
      <c r="B29">
        <v>6</v>
      </c>
      <c r="C29">
        <v>6</v>
      </c>
      <c r="D29">
        <v>12</v>
      </c>
      <c r="E29">
        <v>0.5</v>
      </c>
    </row>
    <row r="30" spans="1:5" x14ac:dyDescent="0.3">
      <c r="A30" t="s">
        <v>59</v>
      </c>
      <c r="B30">
        <v>6</v>
      </c>
      <c r="C30">
        <v>6</v>
      </c>
      <c r="D30">
        <v>12</v>
      </c>
      <c r="E30">
        <v>0.5</v>
      </c>
    </row>
    <row r="31" spans="1:5" x14ac:dyDescent="0.3">
      <c r="A31" t="s">
        <v>60</v>
      </c>
      <c r="B31">
        <v>5</v>
      </c>
      <c r="C31">
        <v>7</v>
      </c>
      <c r="D31">
        <v>12</v>
      </c>
      <c r="E31">
        <v>0.41666666666666702</v>
      </c>
    </row>
    <row r="32" spans="1:5" x14ac:dyDescent="0.3">
      <c r="A32" t="s">
        <v>61</v>
      </c>
      <c r="B32">
        <v>5</v>
      </c>
      <c r="C32">
        <v>7</v>
      </c>
      <c r="D32">
        <v>12</v>
      </c>
      <c r="E32">
        <v>0.41666666666666702</v>
      </c>
    </row>
    <row r="33" spans="1:5" x14ac:dyDescent="0.3">
      <c r="A33" t="s">
        <v>62</v>
      </c>
      <c r="B33">
        <v>3</v>
      </c>
      <c r="C33">
        <v>9</v>
      </c>
      <c r="D33">
        <v>12</v>
      </c>
      <c r="E33">
        <v>0.25</v>
      </c>
    </row>
    <row r="34" spans="1:5" x14ac:dyDescent="0.3">
      <c r="A34" t="s">
        <v>63</v>
      </c>
      <c r="B34">
        <v>4</v>
      </c>
      <c r="C34">
        <v>8</v>
      </c>
      <c r="D34">
        <v>12</v>
      </c>
      <c r="E34">
        <v>0.33333333333333298</v>
      </c>
    </row>
    <row r="35" spans="1:5" x14ac:dyDescent="0.3">
      <c r="A35" t="s">
        <v>64</v>
      </c>
      <c r="B35">
        <v>4</v>
      </c>
      <c r="C35">
        <v>8</v>
      </c>
      <c r="D35">
        <v>12</v>
      </c>
      <c r="E35">
        <v>0.33333333333333298</v>
      </c>
    </row>
    <row r="36" spans="1:5" x14ac:dyDescent="0.3">
      <c r="A36" t="s">
        <v>65</v>
      </c>
      <c r="B36">
        <v>4</v>
      </c>
      <c r="C36">
        <v>8</v>
      </c>
      <c r="D36">
        <v>12</v>
      </c>
      <c r="E36">
        <v>0.33333333333333298</v>
      </c>
    </row>
    <row r="37" spans="1:5" x14ac:dyDescent="0.3">
      <c r="A37" t="s">
        <v>66</v>
      </c>
      <c r="B37">
        <v>4</v>
      </c>
      <c r="C37">
        <v>8</v>
      </c>
      <c r="D37">
        <v>12</v>
      </c>
      <c r="E37">
        <v>0.33333333333333298</v>
      </c>
    </row>
    <row r="38" spans="1:5" x14ac:dyDescent="0.3">
      <c r="A38" t="s">
        <v>67</v>
      </c>
      <c r="B38">
        <v>4</v>
      </c>
      <c r="C38">
        <v>8</v>
      </c>
      <c r="D38">
        <v>12</v>
      </c>
      <c r="E38">
        <v>0.33333333333333298</v>
      </c>
    </row>
    <row r="39" spans="1:5" x14ac:dyDescent="0.3">
      <c r="A39" t="s">
        <v>68</v>
      </c>
      <c r="B39">
        <v>3</v>
      </c>
      <c r="C39">
        <v>9</v>
      </c>
      <c r="D39">
        <v>12</v>
      </c>
      <c r="E39">
        <v>0.25</v>
      </c>
    </row>
    <row r="40" spans="1:5" x14ac:dyDescent="0.3">
      <c r="A40" t="s">
        <v>81</v>
      </c>
      <c r="B40">
        <v>3</v>
      </c>
      <c r="C40">
        <v>9</v>
      </c>
      <c r="D40">
        <v>12</v>
      </c>
      <c r="E40">
        <v>0.25</v>
      </c>
    </row>
    <row r="41" spans="1:5" x14ac:dyDescent="0.3">
      <c r="A41" t="s">
        <v>82</v>
      </c>
      <c r="B41">
        <v>3</v>
      </c>
      <c r="C41">
        <v>9</v>
      </c>
      <c r="D41">
        <v>12</v>
      </c>
      <c r="E41">
        <v>0.25</v>
      </c>
    </row>
    <row r="42" spans="1:5" x14ac:dyDescent="0.3">
      <c r="A42" t="s">
        <v>83</v>
      </c>
      <c r="B42">
        <v>3</v>
      </c>
      <c r="C42">
        <v>9</v>
      </c>
      <c r="D42">
        <v>12</v>
      </c>
      <c r="E42">
        <v>0.25</v>
      </c>
    </row>
    <row r="43" spans="1:5" x14ac:dyDescent="0.3">
      <c r="A43" t="s">
        <v>84</v>
      </c>
      <c r="B43">
        <v>3</v>
      </c>
      <c r="C43">
        <v>9</v>
      </c>
      <c r="D43">
        <v>12</v>
      </c>
      <c r="E43">
        <v>0.25</v>
      </c>
    </row>
    <row r="44" spans="1:5" x14ac:dyDescent="0.3">
      <c r="A44" t="s">
        <v>85</v>
      </c>
      <c r="B44">
        <v>2</v>
      </c>
      <c r="C44">
        <v>10</v>
      </c>
      <c r="D44">
        <v>12</v>
      </c>
      <c r="E44">
        <v>0.16666666666666699</v>
      </c>
    </row>
    <row r="45" spans="1:5" x14ac:dyDescent="0.3">
      <c r="A45" t="s">
        <v>86</v>
      </c>
      <c r="B45">
        <v>2</v>
      </c>
      <c r="C45">
        <v>10</v>
      </c>
      <c r="D45">
        <v>12</v>
      </c>
      <c r="E45">
        <v>0.16666666666666699</v>
      </c>
    </row>
    <row r="46" spans="1:5" x14ac:dyDescent="0.3">
      <c r="A46" t="s">
        <v>87</v>
      </c>
      <c r="B46">
        <v>1</v>
      </c>
      <c r="C46">
        <v>11</v>
      </c>
      <c r="D46">
        <v>12</v>
      </c>
      <c r="E46">
        <v>8.3333333333333301E-2</v>
      </c>
    </row>
    <row r="47" spans="1:5" x14ac:dyDescent="0.3">
      <c r="A47" t="s">
        <v>94</v>
      </c>
      <c r="B47">
        <v>197</v>
      </c>
      <c r="C47">
        <v>319</v>
      </c>
      <c r="D47">
        <v>516</v>
      </c>
      <c r="E47">
        <v>0.38178294573643407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7295E-E4BA-4478-B39D-5CA2C871D143}">
  <sheetPr codeName="Sheet10"/>
  <dimension ref="A1"/>
  <sheetViews>
    <sheetView tabSelected="1" workbookViewId="0">
      <selection activeCell="E10" sqref="E10"/>
    </sheetView>
  </sheetViews>
  <sheetFormatPr defaultRowHeight="14.4" x14ac:dyDescent="0.3"/>
  <cols>
    <col min="1" max="1" width="15.109375" bestFit="1" customWidth="1"/>
    <col min="2" max="2" width="27.21875" bestFit="1" customWidth="1"/>
    <col min="3" max="3" width="20.441406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37189-EF58-4F8F-8DE8-1558C02AB97D}">
  <sheetPr codeName="Sheet11"/>
  <dimension ref="A1:J10"/>
  <sheetViews>
    <sheetView workbookViewId="0">
      <selection sqref="A1:XFD1048576"/>
    </sheetView>
  </sheetViews>
  <sheetFormatPr defaultRowHeight="14.4" x14ac:dyDescent="0.3"/>
  <cols>
    <col min="1" max="1" width="11.88671875" bestFit="1" customWidth="1"/>
    <col min="2" max="7" width="21.5546875" bestFit="1" customWidth="1"/>
    <col min="8" max="8" width="25.5546875" bestFit="1" customWidth="1"/>
    <col min="9" max="9" width="26.33203125" bestFit="1" customWidth="1"/>
    <col min="10" max="10" width="19.6640625" bestFit="1" customWidth="1"/>
  </cols>
  <sheetData>
    <row r="1" spans="1:10" ht="18" x14ac:dyDescent="0.35">
      <c r="A1" s="9" t="s">
        <v>108</v>
      </c>
    </row>
    <row r="3" spans="1:10" x14ac:dyDescent="0.3">
      <c r="B3" s="8" t="s">
        <v>38</v>
      </c>
      <c r="C3" s="8" t="s">
        <v>102</v>
      </c>
    </row>
    <row r="4" spans="1:10" x14ac:dyDescent="0.3">
      <c r="B4" t="s">
        <v>88</v>
      </c>
      <c r="C4" t="s">
        <v>88</v>
      </c>
      <c r="D4" t="s">
        <v>88</v>
      </c>
      <c r="E4" t="s">
        <v>89</v>
      </c>
      <c r="F4" t="s">
        <v>89</v>
      </c>
      <c r="G4" t="s">
        <v>89</v>
      </c>
      <c r="H4" t="s">
        <v>103</v>
      </c>
      <c r="I4" t="s">
        <v>104</v>
      </c>
      <c r="J4" t="s">
        <v>105</v>
      </c>
    </row>
    <row r="5" spans="1:10" x14ac:dyDescent="0.3">
      <c r="A5" s="8" t="s">
        <v>32</v>
      </c>
      <c r="B5" t="s">
        <v>101</v>
      </c>
      <c r="C5" t="s">
        <v>106</v>
      </c>
      <c r="D5" t="s">
        <v>107</v>
      </c>
      <c r="E5" t="s">
        <v>101</v>
      </c>
      <c r="F5" t="s">
        <v>106</v>
      </c>
      <c r="G5" t="s">
        <v>107</v>
      </c>
    </row>
    <row r="6" spans="1:10" x14ac:dyDescent="0.3">
      <c r="A6">
        <v>0</v>
      </c>
      <c r="B6" s="7">
        <v>1620</v>
      </c>
      <c r="C6" s="7">
        <v>1577.0769230769199</v>
      </c>
      <c r="D6" s="7">
        <v>-42.923076923076898</v>
      </c>
      <c r="E6" s="7"/>
      <c r="F6" s="7"/>
      <c r="G6" s="7"/>
      <c r="H6" s="7">
        <v>1620</v>
      </c>
      <c r="I6" s="7">
        <v>1577.0769230769199</v>
      </c>
      <c r="J6" s="7">
        <v>-42.923076923076898</v>
      </c>
    </row>
    <row r="7" spans="1:10" x14ac:dyDescent="0.3">
      <c r="A7">
        <v>1</v>
      </c>
      <c r="B7" s="7"/>
      <c r="C7" s="7"/>
      <c r="D7" s="7"/>
      <c r="E7" s="7">
        <v>1847</v>
      </c>
      <c r="F7" s="7">
        <v>2044.2083333333301</v>
      </c>
      <c r="G7" s="7">
        <v>197.208333333333</v>
      </c>
      <c r="H7" s="7">
        <v>1847</v>
      </c>
      <c r="I7" s="7">
        <v>2044.2083333333301</v>
      </c>
      <c r="J7" s="7">
        <v>197.208333333333</v>
      </c>
    </row>
    <row r="8" spans="1:10" x14ac:dyDescent="0.3">
      <c r="A8">
        <v>2</v>
      </c>
      <c r="B8" s="7"/>
      <c r="C8" s="7"/>
      <c r="D8" s="7"/>
      <c r="E8" s="7">
        <v>2321.5</v>
      </c>
      <c r="F8" s="7">
        <v>2739.75</v>
      </c>
      <c r="G8" s="7">
        <v>418.25</v>
      </c>
      <c r="H8" s="7">
        <v>2321.5</v>
      </c>
      <c r="I8" s="7">
        <v>2739.75</v>
      </c>
      <c r="J8" s="7">
        <v>418.25</v>
      </c>
    </row>
    <row r="9" spans="1:10" x14ac:dyDescent="0.3">
      <c r="A9">
        <v>3</v>
      </c>
      <c r="B9" s="7"/>
      <c r="C9" s="7"/>
      <c r="D9" s="7"/>
      <c r="E9" s="7">
        <v>3077</v>
      </c>
      <c r="F9" s="7">
        <v>3633.54545454545</v>
      </c>
      <c r="G9" s="7">
        <v>556.54545454545496</v>
      </c>
      <c r="H9" s="7">
        <v>3077</v>
      </c>
      <c r="I9" s="7">
        <v>3633.54545454545</v>
      </c>
      <c r="J9" s="7">
        <v>556.54545454545496</v>
      </c>
    </row>
    <row r="10" spans="1:10" x14ac:dyDescent="0.3">
      <c r="A10" t="s">
        <v>94</v>
      </c>
      <c r="B10" s="7">
        <v>1620</v>
      </c>
      <c r="C10" s="7">
        <v>1577.0769230769199</v>
      </c>
      <c r="D10" s="7">
        <v>-42.923076923076898</v>
      </c>
      <c r="E10" s="7">
        <v>2415.1666666666665</v>
      </c>
      <c r="F10" s="7">
        <v>2805.8345959595936</v>
      </c>
      <c r="G10" s="7">
        <v>390.66792929292933</v>
      </c>
      <c r="H10" s="7">
        <v>2216.375</v>
      </c>
      <c r="I10" s="7">
        <v>2498.6451777389252</v>
      </c>
      <c r="J10" s="7">
        <v>282.27017773892777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1035-DB12-482F-B9FF-1DF83FAF20AD}">
  <sheetPr codeName="Sheet12"/>
  <dimension ref="A1:C5"/>
  <sheetViews>
    <sheetView workbookViewId="0"/>
  </sheetViews>
  <sheetFormatPr defaultRowHeight="14.4" x14ac:dyDescent="0.3"/>
  <cols>
    <col min="1" max="1" width="18.88671875" bestFit="1" customWidth="1"/>
    <col min="2" max="2" width="17.44140625" customWidth="1"/>
    <col min="3" max="3" width="21.33203125" customWidth="1"/>
  </cols>
  <sheetData>
    <row r="1" spans="1:3" x14ac:dyDescent="0.3">
      <c r="A1" t="s">
        <v>109</v>
      </c>
      <c r="B1" t="s">
        <v>110</v>
      </c>
      <c r="C1" t="s">
        <v>111</v>
      </c>
    </row>
    <row r="2" spans="1:3" x14ac:dyDescent="0.3">
      <c r="A2" t="s">
        <v>112</v>
      </c>
      <c r="B2" t="s">
        <v>113</v>
      </c>
      <c r="C2" t="s">
        <v>16</v>
      </c>
    </row>
    <row r="3" spans="1:3" x14ac:dyDescent="0.3">
      <c r="A3" t="s">
        <v>112</v>
      </c>
      <c r="B3" t="s">
        <v>113</v>
      </c>
      <c r="C3" t="s">
        <v>17</v>
      </c>
    </row>
    <row r="4" spans="1:3" x14ac:dyDescent="0.3">
      <c r="A4" t="s">
        <v>112</v>
      </c>
      <c r="B4" t="s">
        <v>113</v>
      </c>
      <c r="C4" t="s">
        <v>18</v>
      </c>
    </row>
    <row r="5" spans="1:3" x14ac:dyDescent="0.3">
      <c r="A5" t="s">
        <v>112</v>
      </c>
      <c r="B5" t="s">
        <v>113</v>
      </c>
      <c r="C5" t="s">
        <v>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5551D-833B-4655-AD8A-999CBD336F1F}">
  <sheetPr codeName="Sheet13"/>
  <dimension ref="A1:B5"/>
  <sheetViews>
    <sheetView workbookViewId="0"/>
  </sheetViews>
  <sheetFormatPr defaultRowHeight="14.4" x14ac:dyDescent="0.3"/>
  <cols>
    <col min="1" max="1" width="11" bestFit="1" customWidth="1"/>
    <col min="2" max="2" width="21.33203125" bestFit="1" customWidth="1"/>
  </cols>
  <sheetData>
    <row r="1" spans="1:2" x14ac:dyDescent="0.3">
      <c r="A1" t="s">
        <v>114</v>
      </c>
      <c r="B1" t="s">
        <v>115</v>
      </c>
    </row>
    <row r="2" spans="1:2" x14ac:dyDescent="0.3">
      <c r="A2" t="s">
        <v>116</v>
      </c>
      <c r="B2" t="s">
        <v>16</v>
      </c>
    </row>
    <row r="3" spans="1:2" x14ac:dyDescent="0.3">
      <c r="A3" t="s">
        <v>116</v>
      </c>
      <c r="B3" t="s">
        <v>17</v>
      </c>
    </row>
    <row r="4" spans="1:2" x14ac:dyDescent="0.3">
      <c r="A4" t="s">
        <v>116</v>
      </c>
      <c r="B4" t="s">
        <v>18</v>
      </c>
    </row>
    <row r="5" spans="1:2" x14ac:dyDescent="0.3">
      <c r="A5" t="s">
        <v>116</v>
      </c>
      <c r="B5" t="s">
        <v>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79F-9575-438D-B6A6-D64F46B15871}">
  <sheetPr codeName="Sheet7"/>
  <dimension ref="A1:B2"/>
  <sheetViews>
    <sheetView workbookViewId="0">
      <selection activeCell="B6" sqref="B6"/>
    </sheetView>
  </sheetViews>
  <sheetFormatPr defaultRowHeight="14.4" x14ac:dyDescent="0.3"/>
  <cols>
    <col min="1" max="1" width="14.109375" bestFit="1" customWidth="1"/>
  </cols>
  <sheetData>
    <row r="1" spans="1:2" x14ac:dyDescent="0.3">
      <c r="A1" t="s">
        <v>30</v>
      </c>
      <c r="B1" t="s">
        <v>39</v>
      </c>
    </row>
    <row r="2" spans="1:2" x14ac:dyDescent="0.3">
      <c r="A2" t="s">
        <v>31</v>
      </c>
      <c r="B2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Instructions</vt:lpstr>
      <vt:lpstr>revenue_summary</vt:lpstr>
      <vt:lpstr>pricing_comparison</vt:lpstr>
      <vt:lpstr>occupancy_trends</vt:lpstr>
      <vt:lpstr>expense_summary</vt:lpstr>
      <vt:lpstr>Dashboard</vt:lpstr>
      <vt:lpstr>PivotRevenue</vt:lpstr>
      <vt:lpstr>PivotOccupancy</vt:lpstr>
      <vt:lpstr>PivotExpense</vt:lpstr>
      <vt:lpstr>PivotPricing</vt:lpstr>
      <vt:lpstr>Expense_Debug</vt:lpstr>
      <vt:lpstr>Expense_Pivot_Fields</vt:lpstr>
      <vt:lpstr>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Kim</cp:lastModifiedBy>
  <dcterms:created xsi:type="dcterms:W3CDTF">2026-03-21T21:44:34Z</dcterms:created>
  <dcterms:modified xsi:type="dcterms:W3CDTF">2026-04-05T23:35:07Z</dcterms:modified>
</cp:coreProperties>
</file>